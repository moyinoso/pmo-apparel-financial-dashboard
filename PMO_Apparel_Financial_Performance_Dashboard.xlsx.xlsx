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8dd80af940cc3e74/Documents/DATA/ZENLYTICS/PMO FINANCIAL DASHBOARD/"/>
    </mc:Choice>
  </mc:AlternateContent>
  <xr:revisionPtr revIDLastSave="49" documentId="13_ncr:1_{E89E549C-7E6F-47E2-93AD-F3FDE051444C}" xr6:coauthVersionLast="47" xr6:coauthVersionMax="47" xr10:uidLastSave="{0CBAA75A-A702-4B7F-A005-08ECBF8090DF}"/>
  <bookViews>
    <workbookView xWindow="-110" yWindow="-110" windowWidth="19420" windowHeight="10300" tabRatio="837" firstSheet="1" activeTab="4" xr2:uid="{00000000-000D-0000-FFFF-FFFF00000000}"/>
  </bookViews>
  <sheets>
    <sheet name="Overall Performance" sheetId="2" r:id="rId1"/>
    <sheet name="Monthly Performance" sheetId="9" r:id="rId2"/>
    <sheet name="Product Performance" sheetId="3" r:id="rId3"/>
    <sheet name="2024 vs 2025 Performance" sheetId="11" r:id="rId4"/>
    <sheet name="MAIN DASHBOARD" sheetId="12" r:id="rId5"/>
    <sheet name="Clean data" sheetId="4" r:id="rId6"/>
    <sheet name="Messy Financial Data" sheetId="5" r:id="rId7"/>
  </sheets>
  <definedNames>
    <definedName name="_xlnm._FilterDatabase" localSheetId="6" hidden="1">'Messy Financial Data'!$A$1:$G$259</definedName>
    <definedName name="Slicer_Product1">#N/A</definedName>
    <definedName name="Slicer_Years__Date">#N/A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11" l="1"/>
  <c r="E4" i="11"/>
  <c r="D5" i="2"/>
  <c r="A14" i="2" s="1"/>
  <c r="A12" i="2"/>
  <c r="A10" i="2"/>
  <c r="A8" i="2"/>
</calcChain>
</file>

<file path=xl/sharedStrings.xml><?xml version="1.0" encoding="utf-8"?>
<sst xmlns="http://schemas.openxmlformats.org/spreadsheetml/2006/main" count="1130" uniqueCount="348">
  <si>
    <t>Sum of Revenue</t>
  </si>
  <si>
    <t>Sum of Expenses</t>
  </si>
  <si>
    <t>Sum of Profit</t>
  </si>
  <si>
    <t>Row Labels</t>
  </si>
  <si>
    <t>Asobe Shirt</t>
  </si>
  <si>
    <t>Unknown</t>
  </si>
  <si>
    <t>Zen T-Shirt</t>
  </si>
  <si>
    <t>Grand Total</t>
  </si>
  <si>
    <t>Product</t>
  </si>
  <si>
    <t>Revenue</t>
  </si>
  <si>
    <t>Expenses</t>
  </si>
  <si>
    <t>Profit</t>
  </si>
  <si>
    <t>Date</t>
  </si>
  <si>
    <t>Month</t>
  </si>
  <si>
    <t>Financial Year</t>
  </si>
  <si>
    <t>January</t>
  </si>
  <si>
    <t>15 July 2024</t>
  </si>
  <si>
    <t>03/04/2024</t>
  </si>
  <si>
    <t>14 March 2024</t>
  </si>
  <si>
    <t>February</t>
  </si>
  <si>
    <t>15/09/2025</t>
  </si>
  <si>
    <t>Zen T-shirt</t>
  </si>
  <si>
    <t>13 June 2025</t>
  </si>
  <si>
    <t>february</t>
  </si>
  <si>
    <t>2025/07/05</t>
  </si>
  <si>
    <t>12-Aug-2024</t>
  </si>
  <si>
    <t>March</t>
  </si>
  <si>
    <t>08/08/2024</t>
  </si>
  <si>
    <t>8,109,917.00</t>
  </si>
  <si>
    <t>01/08/2025</t>
  </si>
  <si>
    <t>2025/10/16</t>
  </si>
  <si>
    <t>05-Mar-2025</t>
  </si>
  <si>
    <t>2,631,133.00</t>
  </si>
  <si>
    <t>05 August 2024</t>
  </si>
  <si>
    <t>April</t>
  </si>
  <si>
    <t xml:space="preserve"> 06/05/2024 </t>
  </si>
  <si>
    <t xml:space="preserve"> 20 January 2024 </t>
  </si>
  <si>
    <t>May</t>
  </si>
  <si>
    <t>04-Oct-2025</t>
  </si>
  <si>
    <t xml:space="preserve"> Zen T-shirt </t>
  </si>
  <si>
    <t>27-Feb-2024</t>
  </si>
  <si>
    <t>25 December 2025</t>
  </si>
  <si>
    <t>ZEN T-SHIRT</t>
  </si>
  <si>
    <t>05/12/2025</t>
  </si>
  <si>
    <t>08/05/2024</t>
  </si>
  <si>
    <t>june</t>
  </si>
  <si>
    <t>9,166,769.00</t>
  </si>
  <si>
    <t>07-Aug-2024</t>
  </si>
  <si>
    <t>June</t>
  </si>
  <si>
    <t>01/06/2025</t>
  </si>
  <si>
    <t>29/12/2024</t>
  </si>
  <si>
    <t xml:space="preserve"> 09/04/2025 </t>
  </si>
  <si>
    <t>2024/05/11</t>
  </si>
  <si>
    <t>2,116,792.00</t>
  </si>
  <si>
    <t>26/08/2025</t>
  </si>
  <si>
    <t>July</t>
  </si>
  <si>
    <t>6,659,621.00</t>
  </si>
  <si>
    <t>5,718,412.00</t>
  </si>
  <si>
    <t>941,209.00</t>
  </si>
  <si>
    <t>2025/07/06</t>
  </si>
  <si>
    <t>06/01/2025</t>
  </si>
  <si>
    <t xml:space="preserve"> 11/10/2024 </t>
  </si>
  <si>
    <t>27 november 2025</t>
  </si>
  <si>
    <t xml:space="preserve"> 02-Feb-2024 </t>
  </si>
  <si>
    <t>August</t>
  </si>
  <si>
    <t>10/27/2024</t>
  </si>
  <si>
    <t>09/26/2024</t>
  </si>
  <si>
    <t>12 december 2024</t>
  </si>
  <si>
    <t>September</t>
  </si>
  <si>
    <t>12,433,378.00</t>
  </si>
  <si>
    <t>10/05/2025</t>
  </si>
  <si>
    <t>07/16/2025</t>
  </si>
  <si>
    <t>12/06/2024</t>
  </si>
  <si>
    <t>september</t>
  </si>
  <si>
    <t>3,398,230.00</t>
  </si>
  <si>
    <t>October</t>
  </si>
  <si>
    <t>zen t-shirt</t>
  </si>
  <si>
    <t>19 December 2025</t>
  </si>
  <si>
    <t>03/06/2024</t>
  </si>
  <si>
    <t>3,115,955.00</t>
  </si>
  <si>
    <t>28 July 2025</t>
  </si>
  <si>
    <t xml:space="preserve"> Asobe Shirt </t>
  </si>
  <si>
    <t>03/09/2024</t>
  </si>
  <si>
    <t>25/08/2025</t>
  </si>
  <si>
    <t>November</t>
  </si>
  <si>
    <t>01/24/2025</t>
  </si>
  <si>
    <t>03-Jun-2025</t>
  </si>
  <si>
    <t>2,093,322.00</t>
  </si>
  <si>
    <t>846,252.00</t>
  </si>
  <si>
    <t>22-May-2024</t>
  </si>
  <si>
    <t>november</t>
  </si>
  <si>
    <t>5,468,428.00</t>
  </si>
  <si>
    <t>06/27/2025</t>
  </si>
  <si>
    <t>01/05/2025</t>
  </si>
  <si>
    <t>08 March 2024</t>
  </si>
  <si>
    <t>December</t>
  </si>
  <si>
    <t>9,516,586.00</t>
  </si>
  <si>
    <t>1,415,996.00</t>
  </si>
  <si>
    <t>21-Mar-2024</t>
  </si>
  <si>
    <t>27/09/2024</t>
  </si>
  <si>
    <t xml:space="preserve"> 10/18/2025 </t>
  </si>
  <si>
    <t>17,772,619.00</t>
  </si>
  <si>
    <t>2025/08/27</t>
  </si>
  <si>
    <t>10/27/2025</t>
  </si>
  <si>
    <t xml:space="preserve"> August </t>
  </si>
  <si>
    <t>18 April 2025</t>
  </si>
  <si>
    <t xml:space="preserve"> February </t>
  </si>
  <si>
    <t>03/09/2025</t>
  </si>
  <si>
    <t xml:space="preserve"> July </t>
  </si>
  <si>
    <t>asobe shirt</t>
  </si>
  <si>
    <t xml:space="preserve"> 02-Sep-2025 </t>
  </si>
  <si>
    <t>25/06/2025</t>
  </si>
  <si>
    <t>14/02/2025</t>
  </si>
  <si>
    <t>12/03/2024</t>
  </si>
  <si>
    <t>2024/02/14</t>
  </si>
  <si>
    <t>14,021,471.00</t>
  </si>
  <si>
    <t>14/12/2024</t>
  </si>
  <si>
    <t>14-Jun-2024</t>
  </si>
  <si>
    <t>3,596,622.00</t>
  </si>
  <si>
    <t>10/06/2024</t>
  </si>
  <si>
    <t>14-Apr-2025</t>
  </si>
  <si>
    <t>2024/08/22</t>
  </si>
  <si>
    <t>31/08/2024</t>
  </si>
  <si>
    <t>06/11/2025</t>
  </si>
  <si>
    <t>5,297,234.00</t>
  </si>
  <si>
    <t>2024/04/14</t>
  </si>
  <si>
    <t>10,887,632.00</t>
  </si>
  <si>
    <t>21/08/2024</t>
  </si>
  <si>
    <t>22-Jul-2024</t>
  </si>
  <si>
    <t>13,395,811.00</t>
  </si>
  <si>
    <t>11-Mar-2024</t>
  </si>
  <si>
    <t>2025/12/02</t>
  </si>
  <si>
    <t>25 January 2025</t>
  </si>
  <si>
    <t>24-Jun-2025</t>
  </si>
  <si>
    <t>3,106,260.00</t>
  </si>
  <si>
    <t>2024/03/22</t>
  </si>
  <si>
    <t xml:space="preserve"> 06/29/2025 </t>
  </si>
  <si>
    <t>08 March 2025</t>
  </si>
  <si>
    <t>05-Dec-2025</t>
  </si>
  <si>
    <t>DECEMBER</t>
  </si>
  <si>
    <t>09-Sep-2024</t>
  </si>
  <si>
    <t>27/11/2025</t>
  </si>
  <si>
    <t>16/08/2024</t>
  </si>
  <si>
    <t>2024/10/01</t>
  </si>
  <si>
    <t>1,700,612.00</t>
  </si>
  <si>
    <t>12/07/2025</t>
  </si>
  <si>
    <t>23-Jan-2025</t>
  </si>
  <si>
    <t>21 March 2024</t>
  </si>
  <si>
    <t>26 May 2025</t>
  </si>
  <si>
    <t>2025/07/12</t>
  </si>
  <si>
    <t xml:space="preserve"> 07/06/2025 </t>
  </si>
  <si>
    <t>12 October 2024</t>
  </si>
  <si>
    <t>27 May 2025</t>
  </si>
  <si>
    <t>6,641,746.00</t>
  </si>
  <si>
    <t>26/05/2024</t>
  </si>
  <si>
    <t xml:space="preserve"> April </t>
  </si>
  <si>
    <t xml:space="preserve"> 06/03/2025 </t>
  </si>
  <si>
    <t>15-NOV-2024</t>
  </si>
  <si>
    <t xml:space="preserve"> 09-Feb-2025 </t>
  </si>
  <si>
    <t>2025/05/01</t>
  </si>
  <si>
    <t>18 April 2024</t>
  </si>
  <si>
    <t>06/18/2024</t>
  </si>
  <si>
    <t>18-Aug-2024</t>
  </si>
  <si>
    <t>30-Sep-2024</t>
  </si>
  <si>
    <t xml:space="preserve"> 04/24/2024 </t>
  </si>
  <si>
    <t>12/02/2025</t>
  </si>
  <si>
    <t>08/03/2025</t>
  </si>
  <si>
    <t>27-Oct-2025</t>
  </si>
  <si>
    <t>MARCH</t>
  </si>
  <si>
    <t>2024/10/27</t>
  </si>
  <si>
    <t>2025/09/10</t>
  </si>
  <si>
    <t>8,925,622.00</t>
  </si>
  <si>
    <t>07/03/2025</t>
  </si>
  <si>
    <t>18/11/2024</t>
  </si>
  <si>
    <t>JULY</t>
  </si>
  <si>
    <t>2025/07/19</t>
  </si>
  <si>
    <t>22-Jan-2024</t>
  </si>
  <si>
    <t>6,271,336.00</t>
  </si>
  <si>
    <t>13-Sep-2025</t>
  </si>
  <si>
    <t>21/05/2024</t>
  </si>
  <si>
    <t>11/10/2024</t>
  </si>
  <si>
    <t>11/01/2024</t>
  </si>
  <si>
    <t>03/05/2024</t>
  </si>
  <si>
    <t>12/10/2025</t>
  </si>
  <si>
    <t>07 January 2024</t>
  </si>
  <si>
    <t>08/11/2025</t>
  </si>
  <si>
    <t>02/02/2024</t>
  </si>
  <si>
    <t>2024/02/29</t>
  </si>
  <si>
    <t>24-Apr-2025</t>
  </si>
  <si>
    <t>3,866,714.00</t>
  </si>
  <si>
    <t>04/24/2024</t>
  </si>
  <si>
    <t>may</t>
  </si>
  <si>
    <t>2025/01/22</t>
  </si>
  <si>
    <t>april</t>
  </si>
  <si>
    <t>24/06/2024</t>
  </si>
  <si>
    <t>4,065,021.00</t>
  </si>
  <si>
    <t>09 April 2025</t>
  </si>
  <si>
    <t>05-Sep-2025</t>
  </si>
  <si>
    <t>2024/01/26</t>
  </si>
  <si>
    <t>227,945.00</t>
  </si>
  <si>
    <t xml:space="preserve"> 03-Oct-2024 </t>
  </si>
  <si>
    <t>23 August 2024</t>
  </si>
  <si>
    <t>2024/09/28</t>
  </si>
  <si>
    <t xml:space="preserve"> 26 September 2024 </t>
  </si>
  <si>
    <t>07 September 2024</t>
  </si>
  <si>
    <t>12/18/2024</t>
  </si>
  <si>
    <t>2025/06/10</t>
  </si>
  <si>
    <t xml:space="preserve"> October </t>
  </si>
  <si>
    <t>2,888,010.00</t>
  </si>
  <si>
    <t>01/07/2024</t>
  </si>
  <si>
    <t>02 october 2025</t>
  </si>
  <si>
    <t>3,751,148.00</t>
  </si>
  <si>
    <t>14/08/2025</t>
  </si>
  <si>
    <t>20 August 2025</t>
  </si>
  <si>
    <t>01/01/2024</t>
  </si>
  <si>
    <t>04-Dec-2024</t>
  </si>
  <si>
    <t>25-Sep-2025</t>
  </si>
  <si>
    <t>07/12/2025</t>
  </si>
  <si>
    <t>2025/11/17</t>
  </si>
  <si>
    <t>2,408,508.00</t>
  </si>
  <si>
    <t>05 January 2025</t>
  </si>
  <si>
    <t>10,932,582.00</t>
  </si>
  <si>
    <t>5,881,380.00</t>
  </si>
  <si>
    <t>01/03/2024</t>
  </si>
  <si>
    <t xml:space="preserve"> 2024/10/11 </t>
  </si>
  <si>
    <t>APRIL</t>
  </si>
  <si>
    <t>2024/08/13</t>
  </si>
  <si>
    <t>03/08/2025</t>
  </si>
  <si>
    <t>july</t>
  </si>
  <si>
    <t>05-Jun-2024</t>
  </si>
  <si>
    <t>7,409,657.00</t>
  </si>
  <si>
    <t>2,466,037.00</t>
  </si>
  <si>
    <t>26 August 2024</t>
  </si>
  <si>
    <t>14 March 2025</t>
  </si>
  <si>
    <t>AUGUST</t>
  </si>
  <si>
    <t>27/04/2024</t>
  </si>
  <si>
    <t>8,777,125.00</t>
  </si>
  <si>
    <t>1,645,534.00</t>
  </si>
  <si>
    <t xml:space="preserve"> 07-May-2024 </t>
  </si>
  <si>
    <t>5,074,629.00</t>
  </si>
  <si>
    <t>13/03/2024</t>
  </si>
  <si>
    <t>15/12/2025</t>
  </si>
  <si>
    <t xml:space="preserve"> May </t>
  </si>
  <si>
    <t>04/04/2025</t>
  </si>
  <si>
    <t>11-Aug-2024</t>
  </si>
  <si>
    <t>22 April 2024</t>
  </si>
  <si>
    <t xml:space="preserve"> June </t>
  </si>
  <si>
    <t>3,314,932.00</t>
  </si>
  <si>
    <t>2024/04/04</t>
  </si>
  <si>
    <t>2024/03/28</t>
  </si>
  <si>
    <t>07/28/2025</t>
  </si>
  <si>
    <t>14/09/2024</t>
  </si>
  <si>
    <t>10/17/2025</t>
  </si>
  <si>
    <t>07-Aug-2025</t>
  </si>
  <si>
    <t>24 April 2024</t>
  </si>
  <si>
    <t>14 January 2025</t>
  </si>
  <si>
    <t>08 October 2025</t>
  </si>
  <si>
    <t>21/07/2025</t>
  </si>
  <si>
    <t>8,708,702.00</t>
  </si>
  <si>
    <t>2024/03/13</t>
  </si>
  <si>
    <t>12-Jan-2024</t>
  </si>
  <si>
    <t>17/01/2025</t>
  </si>
  <si>
    <t>2024/04/09</t>
  </si>
  <si>
    <t>26/08/2024</t>
  </si>
  <si>
    <t>01/28/2024</t>
  </si>
  <si>
    <t>23-NOV-2025</t>
  </si>
  <si>
    <t>5,053,533.00</t>
  </si>
  <si>
    <t>31/01/2024</t>
  </si>
  <si>
    <t>29-Jan-2025</t>
  </si>
  <si>
    <t>04 August 2024</t>
  </si>
  <si>
    <t>2025/07/03</t>
  </si>
  <si>
    <t xml:space="preserve"> 18-Nov-2025 </t>
  </si>
  <si>
    <t>10 march 2024</t>
  </si>
  <si>
    <t>ASOBE SHIRT</t>
  </si>
  <si>
    <t>2024/07/24</t>
  </si>
  <si>
    <t>16 June 2024</t>
  </si>
  <si>
    <t>07/24/2025</t>
  </si>
  <si>
    <t>16 November 2025</t>
  </si>
  <si>
    <t>07-Apr-2025</t>
  </si>
  <si>
    <t xml:space="preserve"> 2025/03/24 </t>
  </si>
  <si>
    <t>12-Jun-2024</t>
  </si>
  <si>
    <t xml:space="preserve"> November </t>
  </si>
  <si>
    <t>11/30/2025</t>
  </si>
  <si>
    <t>9,814,492.00</t>
  </si>
  <si>
    <t>18/02/2024</t>
  </si>
  <si>
    <t>22/05/2024</t>
  </si>
  <si>
    <t>2024/07/22</t>
  </si>
  <si>
    <t>11/28/2024</t>
  </si>
  <si>
    <t>27 November 2024</t>
  </si>
  <si>
    <t>2025/08/25</t>
  </si>
  <si>
    <t>30/09/2024</t>
  </si>
  <si>
    <t>21-Aug-2025</t>
  </si>
  <si>
    <t>10/20/2025</t>
  </si>
  <si>
    <t>2025/12/19</t>
  </si>
  <si>
    <t>2024/10/08</t>
  </si>
  <si>
    <t>09/08/2025</t>
  </si>
  <si>
    <t>2024/12/10</t>
  </si>
  <si>
    <t>15/06/2024</t>
  </si>
  <si>
    <t>2024/04/05</t>
  </si>
  <si>
    <t>06/08/2024</t>
  </si>
  <si>
    <t xml:space="preserve"> 09/28/2024 </t>
  </si>
  <si>
    <t>2024/03/30</t>
  </si>
  <si>
    <t>13 april 2024</t>
  </si>
  <si>
    <t>12 october 2025</t>
  </si>
  <si>
    <t>21 March 2025</t>
  </si>
  <si>
    <t>31-Dec-2025</t>
  </si>
  <si>
    <t xml:space="preserve"> 15/05/2024 </t>
  </si>
  <si>
    <t xml:space="preserve"> March </t>
  </si>
  <si>
    <t>08-Jan-2024</t>
  </si>
  <si>
    <t>2025/09/02</t>
  </si>
  <si>
    <t xml:space="preserve"> 17 January 2025 </t>
  </si>
  <si>
    <t>04/01/2024</t>
  </si>
  <si>
    <t xml:space="preserve"> 2025/06/30 </t>
  </si>
  <si>
    <t>29-Nov-2025</t>
  </si>
  <si>
    <t>06/05/2025</t>
  </si>
  <si>
    <t>13-Aug-2024</t>
  </si>
  <si>
    <t>09/02/2024</t>
  </si>
  <si>
    <t>15-Apr-2025</t>
  </si>
  <si>
    <t>20-May-2025</t>
  </si>
  <si>
    <t>1,065,997.00</t>
  </si>
  <si>
    <t>13 August 2025</t>
  </si>
  <si>
    <t>23 October 2024</t>
  </si>
  <si>
    <t>02/01/2025</t>
  </si>
  <si>
    <t>08/04/2024</t>
  </si>
  <si>
    <t>10/09/2024</t>
  </si>
  <si>
    <t xml:space="preserve"> 06/07/2025 </t>
  </si>
  <si>
    <t>19/11/2024</t>
  </si>
  <si>
    <t>16-Feb-2024</t>
  </si>
  <si>
    <t>2025/05/15</t>
  </si>
  <si>
    <t>25 October 2025</t>
  </si>
  <si>
    <t>11/02/2025</t>
  </si>
  <si>
    <t>22 December 2025</t>
  </si>
  <si>
    <t>Values</t>
  </si>
  <si>
    <t>2025</t>
  </si>
  <si>
    <t>Jan</t>
  </si>
  <si>
    <t>Feb</t>
  </si>
  <si>
    <t>Mar</t>
  </si>
  <si>
    <t>Apr</t>
  </si>
  <si>
    <t>Jun</t>
  </si>
  <si>
    <t>Jul</t>
  </si>
  <si>
    <t>Aug</t>
  </si>
  <si>
    <t>Sept</t>
  </si>
  <si>
    <t>Oct</t>
  </si>
  <si>
    <t>Nov</t>
  </si>
  <si>
    <t>Dec</t>
  </si>
  <si>
    <t>Proft Margin</t>
  </si>
  <si>
    <t>2024</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</si>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</sst>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quot;₦&quot;* #,##0.00_-;_-&quot;₦&quot;* &quot;-&quot;??_-;_-@_-"/>
  </numFmts>
  <fonts count="6" x14ac:knownFonts="1">
    <font>
      <sz val="11"/>
      <color theme="1"/>
      <name val="Calibri"/>
      <family val="2"/>
      <scheme val="minor"/>
    </font>
    <font>
      <b/>
      <sz val="11"/>
      <name val="Calibri"/>
      <family val="2"/>
    </font>
    <font>
      <b/>
      <sz val="11"/>
      <color theme="1"/>
      <name val="Calibri"/>
      <family val="2"/>
      <scheme val="minor"/>
    </font>
    <font>
      <sz val="11"/>
      <color theme="0"/>
      <name val="Calibri"/>
      <family val="2"/>
      <scheme val="minor"/>
    </font>
    <font>
      <sz val="11"/>
      <color theme="1"/>
      <name val="Calibri"/>
      <family val="2"/>
      <scheme val="minor"/>
    </font>
    <font>
      <sz val="11"/>
      <color rgb="FFFF0000"/>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patternFill>
    </fill>
    <fill>
      <patternFill patternType="solid">
        <fgColor theme="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theme="0"/>
      </left>
      <right/>
      <top style="thin">
        <color auto="1"/>
      </top>
      <bottom/>
      <diagonal/>
    </border>
    <border>
      <left style="thin">
        <color theme="0"/>
      </left>
      <right/>
      <top style="thin">
        <color theme="0"/>
      </top>
      <bottom/>
      <diagonal/>
    </border>
    <border>
      <left style="thin">
        <color auto="1"/>
      </left>
      <right/>
      <top style="thin">
        <color auto="1"/>
      </top>
      <bottom/>
      <diagonal/>
    </border>
  </borders>
  <cellStyleXfs count="3">
    <xf numFmtId="0" fontId="0" fillId="0" borderId="0"/>
    <xf numFmtId="0" fontId="3" fillId="5" borderId="0"/>
    <xf numFmtId="9" fontId="4"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2"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0" fillId="0" borderId="0" xfId="0" pivotButton="1"/>
    <xf numFmtId="0" fontId="0" fillId="0" borderId="0" xfId="0" applyAlignment="1">
      <alignment horizontal="left"/>
    </xf>
    <xf numFmtId="0" fontId="1" fillId="2" borderId="4" xfId="0" applyFont="1" applyFill="1" applyBorder="1" applyAlignment="1">
      <alignment horizontal="center" vertical="top"/>
    </xf>
    <xf numFmtId="2" fontId="1" fillId="2" borderId="4" xfId="0" applyNumberFormat="1" applyFont="1" applyFill="1" applyBorder="1" applyAlignment="1">
      <alignment horizontal="center" vertical="top"/>
    </xf>
    <xf numFmtId="0" fontId="0" fillId="3" borderId="2" xfId="0" applyFill="1" applyBorder="1"/>
    <xf numFmtId="2" fontId="0" fillId="3" borderId="2" xfId="0" applyNumberFormat="1" applyFill="1" applyBorder="1"/>
    <xf numFmtId="0" fontId="0" fillId="4" borderId="3" xfId="0" applyFill="1" applyBorder="1"/>
    <xf numFmtId="2" fontId="0" fillId="4" borderId="3" xfId="0" applyNumberFormat="1" applyFill="1" applyBorder="1"/>
    <xf numFmtId="0" fontId="0" fillId="3" borderId="3" xfId="0" applyFill="1" applyBorder="1"/>
    <xf numFmtId="2" fontId="0" fillId="3" borderId="3" xfId="0" applyNumberFormat="1" applyFill="1" applyBorder="1"/>
    <xf numFmtId="14" fontId="0" fillId="0" borderId="0" xfId="0" applyNumberFormat="1"/>
    <xf numFmtId="14" fontId="2" fillId="5" borderId="0" xfId="1" applyNumberFormat="1" applyFont="1"/>
    <xf numFmtId="44" fontId="0" fillId="0" borderId="0" xfId="0" applyNumberFormat="1"/>
    <xf numFmtId="10" fontId="0" fillId="0" borderId="0" xfId="2" applyNumberFormat="1" applyFont="1"/>
    <xf numFmtId="10" fontId="0" fillId="0" borderId="0" xfId="0" applyNumberFormat="1"/>
    <xf numFmtId="0" fontId="5" fillId="6" borderId="0" xfId="0" applyFont="1" applyFill="1"/>
    <xf numFmtId="0" fontId="0" fillId="6" borderId="0" xfId="0" applyFill="1"/>
  </cellXfs>
  <cellStyles count="3">
    <cellStyle name="Accent1" xfId="1" builtinId="29"/>
    <cellStyle name="Normal" xfId="0" builtinId="0"/>
    <cellStyle name="Percent" xfId="2" builtinId="5"/>
  </cellStyles>
  <dxfs count="15">
    <dxf>
      <numFmt numFmtId="19" formatCode="dd/mm/yyyy"/>
    </dxf>
    <dxf>
      <font>
        <strike val="0"/>
        <condense val="0"/>
        <extend val="0"/>
        <outline val="0"/>
        <shadow val="0"/>
        <vertAlign val="baseline"/>
        <sz val="11"/>
        <color theme="1"/>
        <name val="Calibri"/>
        <family val="2"/>
        <scheme val="minor"/>
      </font>
      <numFmt numFmtId="2" formatCode="0.00"/>
      <fill>
        <patternFill patternType="solid">
          <fgColor theme="4" tint="0.79998168889431442"/>
          <bgColor theme="4" tint="0.79998168889431442"/>
        </patternFill>
      </fill>
      <border>
        <left style="thin">
          <color theme="0"/>
        </left>
        <right/>
        <top style="thin">
          <color theme="0"/>
        </top>
        <bottom/>
        <vertical/>
        <horizontal/>
      </border>
    </dxf>
    <dxf>
      <font>
        <strike val="0"/>
        <condense val="0"/>
        <extend val="0"/>
        <outline val="0"/>
        <shadow val="0"/>
        <vertAlign val="baseline"/>
        <sz val="11"/>
        <color theme="1"/>
        <name val="Calibri"/>
        <family val="2"/>
        <scheme val="minor"/>
      </font>
      <numFmt numFmtId="2" formatCode="0.00"/>
      <fill>
        <patternFill patternType="solid">
          <fgColor theme="4" tint="0.79998168889431442"/>
          <bgColor theme="4" tint="0.79998168889431442"/>
        </patternFill>
      </fill>
      <border>
        <left style="thin">
          <color theme="0"/>
        </left>
        <right/>
        <top style="thin">
          <color theme="0"/>
        </top>
        <bottom/>
        <vertical/>
        <horizontal/>
      </border>
    </dxf>
    <dxf>
      <font>
        <strike val="0"/>
        <condense val="0"/>
        <extend val="0"/>
        <outline val="0"/>
        <shadow val="0"/>
        <vertAlign val="baseline"/>
        <sz val="11"/>
        <color theme="1"/>
        <name val="Calibri"/>
        <family val="2"/>
        <scheme val="minor"/>
      </font>
      <numFmt numFmtId="2" formatCode="0.00"/>
      <fill>
        <patternFill patternType="solid">
          <fgColor theme="4" tint="0.79998168889431442"/>
          <bgColor theme="4" tint="0.79998168889431442"/>
        </patternFill>
      </fill>
      <border>
        <left style="thin">
          <color theme="0"/>
        </left>
        <right/>
        <top style="thin">
          <color theme="0"/>
        </top>
        <bottom/>
        <vertical/>
        <horizontal/>
      </border>
    </dxf>
    <dxf>
      <font>
        <strike val="0"/>
        <condense val="0"/>
        <extend val="0"/>
        <outline val="0"/>
        <shadow val="0"/>
        <vertAlign val="baseline"/>
        <sz val="11"/>
        <color theme="1"/>
        <name val="Calibri"/>
        <family val="2"/>
        <scheme val="minor"/>
      </font>
      <fill>
        <patternFill patternType="solid">
          <fgColor theme="4" tint="0.79998168889431442"/>
          <bgColor theme="4" tint="0.79998168889431442"/>
        </patternFill>
      </fill>
      <border>
        <left style="thin">
          <color theme="0"/>
        </left>
        <right/>
        <top style="thin">
          <color theme="0"/>
        </top>
        <bottom/>
        <vertical/>
        <horizontal/>
      </border>
    </dxf>
    <dxf>
      <font>
        <strike val="0"/>
        <condense val="0"/>
        <extend val="0"/>
        <outline val="0"/>
        <shadow val="0"/>
        <vertAlign val="baseline"/>
        <sz val="11"/>
        <color theme="1"/>
        <name val="Calibri"/>
        <family val="2"/>
        <scheme val="minor"/>
      </font>
      <fill>
        <patternFill patternType="solid">
          <fgColor theme="4" tint="0.79998168889431442"/>
          <bgColor theme="4" tint="0.79998168889431442"/>
        </patternFill>
      </fill>
    </dxf>
    <dxf>
      <font>
        <b/>
        <strike val="0"/>
        <condense val="0"/>
        <extend val="0"/>
        <outline val="0"/>
        <shadow val="0"/>
        <vertAlign val="baseline"/>
        <sz val="11"/>
        <color auto="1"/>
        <name val="Calibri"/>
        <family val="2"/>
      </font>
      <numFmt numFmtId="2" formatCode="0.00"/>
      <fill>
        <patternFill patternType="solid">
          <fgColor theme="4"/>
          <bgColor theme="4"/>
        </patternFill>
      </fill>
      <alignment horizontal="center" vertical="top"/>
      <border outline="0">
        <left style="thin">
          <color auto="1"/>
        </left>
        <right style="thin">
          <color auto="1"/>
        </right>
        <top/>
        <bottom/>
      </border>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font>
        <b/>
        <i val="0"/>
        <strike val="0"/>
        <color rgb="FFD4A24E"/>
        <name val="Calibri"/>
        <family val="2"/>
        <scheme val="minor"/>
      </font>
      <fill>
        <patternFill>
          <bgColor theme="1"/>
        </patternFill>
      </fill>
    </dxf>
    <dxf>
      <fill>
        <patternFill>
          <fgColor theme="1"/>
          <bgColor rgb="FF0D0D0D"/>
        </patternFill>
      </fill>
    </dxf>
    <dxf>
      <fill>
        <patternFill>
          <fgColor rgb="FF0D0D0D"/>
        </patternFill>
      </fill>
    </dxf>
    <dxf>
      <font>
        <b/>
        <i val="0"/>
        <sz val="9"/>
        <color rgb="FF0D0D0D"/>
        <name val="Calibri"/>
        <family val="2"/>
        <scheme val="minor"/>
      </font>
    </dxf>
  </dxfs>
  <tableStyles count="3" defaultTableStyle="TableStyleMedium9" defaultPivotStyle="PivotStyleLight16">
    <tableStyle name="Slicer Style 1" pivot="0" table="0" count="1" xr9:uid="{96593167-AA9B-4813-AD52-A3CBA59FFE96}">
      <tableStyleElement type="wholeTable" dxfId="14"/>
    </tableStyle>
    <tableStyle name="Slicer Style 2" pivot="0" table="0" count="1" xr9:uid="{39F91B5B-6034-4AD8-B8DB-B19F8ACDAB2F}">
      <tableStyleElement type="wholeTable" dxfId="13"/>
    </tableStyle>
    <tableStyle name="Slicer Style 3" pivot="0" table="0" count="5" xr9:uid="{DA5383AD-B328-4FFD-85E7-89B8CF8ABF1B}">
      <tableStyleElement type="wholeTable" dxfId="12"/>
      <tableStyleElement type="headerRow" dxfId="11"/>
    </tableStyle>
  </tableStyles>
  <colors>
    <mruColors>
      <color rgb="FFE8E8E8"/>
      <color rgb="FF1A1A1A"/>
      <color rgb="FF0D0D0D"/>
      <color rgb="FFD4A24E"/>
      <color rgb="FF3A3226"/>
      <color rgb="FFD9C28A"/>
      <color rgb="FFA9673A"/>
      <color rgb="FFE8B84B"/>
      <color rgb="FFEAD9A0"/>
    </mruColors>
  </colors>
  <extLst>
    <ext xmlns:x14="http://schemas.microsoft.com/office/spreadsheetml/2009/9/main" uri="{46F421CA-312F-682f-3DD2-61675219B42D}">
      <x14:dxfs count="3">
        <dxf>
          <fill>
            <patternFill patternType="solid">
              <bgColor theme="2" tint="-9.9948118533890809E-2"/>
            </patternFill>
          </fill>
        </dxf>
        <dxf>
          <font>
            <color rgb="FF0D0D0D"/>
          </font>
          <fill>
            <patternFill>
              <bgColor rgb="FFD4A24E"/>
            </patternFill>
          </fill>
        </dxf>
        <dxf>
          <font>
            <color rgb="FFE8E8E8"/>
          </font>
          <fill>
            <patternFill>
              <bgColor rgb="FF1A1A1A"/>
            </patternFill>
          </fill>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[Zenlytics Mentorship Submission-C2-Oso Moyinoluwa-ZN2-150.xlsx]Monthly Performance!PivotTable1</c:name>
    <c:fmtId val="0"/>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r>
              <a:rPr lang="en-US" sz="1000" b="1">
                <a:solidFill>
                  <a:schemeClr val="bg1">
                    <a:lumMod val="85000"/>
                  </a:schemeClr>
                </a:solidFill>
              </a:rPr>
              <a:t>Monthly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Performance'!$B$3</c:f>
              <c:strCache>
                <c:ptCount val="1"/>
                <c:pt idx="0">
                  <c:v>Sum of Revenue</c:v>
                </c:pt>
              </c:strCache>
            </c:strRef>
          </c:tx>
          <c:spPr>
            <a:solidFill>
              <a:schemeClr val="accent1"/>
            </a:solidFill>
            <a:ln>
              <a:noFill/>
            </a:ln>
            <a:effectLst/>
          </c:spPr>
          <c:invertIfNegative val="0"/>
          <c:cat>
            <c:strRef>
              <c:f>'Monthly Performance'!$A$4:$A$16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 Performance'!$B$4:$B$16</c:f>
              <c:numCache>
                <c:formatCode>0.00</c:formatCode>
                <c:ptCount val="12"/>
                <c:pt idx="0">
                  <c:v>194852392</c:v>
                </c:pt>
                <c:pt idx="1">
                  <c:v>126317039</c:v>
                </c:pt>
                <c:pt idx="2">
                  <c:v>227375035</c:v>
                </c:pt>
                <c:pt idx="3">
                  <c:v>192250122</c:v>
                </c:pt>
                <c:pt idx="4">
                  <c:v>171236022</c:v>
                </c:pt>
                <c:pt idx="5">
                  <c:v>175132919</c:v>
                </c:pt>
                <c:pt idx="6">
                  <c:v>113235097</c:v>
                </c:pt>
                <c:pt idx="7">
                  <c:v>333261357</c:v>
                </c:pt>
                <c:pt idx="8">
                  <c:v>187401897</c:v>
                </c:pt>
                <c:pt idx="9">
                  <c:v>190245851</c:v>
                </c:pt>
                <c:pt idx="10">
                  <c:v>112305588</c:v>
                </c:pt>
                <c:pt idx="11">
                  <c:v>168632784</c:v>
                </c:pt>
              </c:numCache>
            </c:numRef>
          </c:val>
          <c:extLst>
            <c:ext xmlns:c16="http://schemas.microsoft.com/office/drawing/2014/chart" uri="{C3380CC4-5D6E-409C-BE32-E72D297353CC}">
              <c16:uniqueId val="{00000000-018F-4BFB-8A25-FE6BA2371D17}"/>
            </c:ext>
          </c:extLst>
        </c:ser>
        <c:ser>
          <c:idx val="1"/>
          <c:order val="1"/>
          <c:tx>
            <c:strRef>
              <c:f>'Monthly Performance'!$C$3</c:f>
              <c:strCache>
                <c:ptCount val="1"/>
                <c:pt idx="0">
                  <c:v>Sum of Expenses</c:v>
                </c:pt>
              </c:strCache>
            </c:strRef>
          </c:tx>
          <c:spPr>
            <a:solidFill>
              <a:schemeClr val="accent2"/>
            </a:solidFill>
            <a:ln>
              <a:noFill/>
            </a:ln>
            <a:effectLst/>
          </c:spPr>
          <c:invertIfNegative val="0"/>
          <c:cat>
            <c:strRef>
              <c:f>'Monthly Performance'!$A$4:$A$16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 Performance'!$C$4:$C$16</c:f>
              <c:numCache>
                <c:formatCode>0.00</c:formatCode>
                <c:ptCount val="12"/>
                <c:pt idx="0">
                  <c:v>83313460</c:v>
                </c:pt>
                <c:pt idx="1">
                  <c:v>62435245</c:v>
                </c:pt>
                <c:pt idx="2">
                  <c:v>128466699</c:v>
                </c:pt>
                <c:pt idx="3">
                  <c:v>89398489</c:v>
                </c:pt>
                <c:pt idx="4">
                  <c:v>85532789</c:v>
                </c:pt>
                <c:pt idx="5">
                  <c:v>82761156</c:v>
                </c:pt>
                <c:pt idx="6">
                  <c:v>72305349</c:v>
                </c:pt>
                <c:pt idx="7">
                  <c:v>169279478</c:v>
                </c:pt>
                <c:pt idx="8">
                  <c:v>97007291</c:v>
                </c:pt>
                <c:pt idx="9">
                  <c:v>94528204</c:v>
                </c:pt>
                <c:pt idx="10">
                  <c:v>53816965</c:v>
                </c:pt>
                <c:pt idx="11">
                  <c:v>79722382</c:v>
                </c:pt>
              </c:numCache>
            </c:numRef>
          </c:val>
          <c:extLst>
            <c:ext xmlns:c16="http://schemas.microsoft.com/office/drawing/2014/chart" uri="{C3380CC4-5D6E-409C-BE32-E72D297353CC}">
              <c16:uniqueId val="{00000001-018F-4BFB-8A25-FE6BA2371D17}"/>
            </c:ext>
          </c:extLst>
        </c:ser>
        <c:dLbls>
          <c:showLegendKey val="0"/>
          <c:showVal val="0"/>
          <c:showCatName val="0"/>
          <c:showSerName val="0"/>
          <c:showPercent val="0"/>
          <c:showBubbleSize val="0"/>
        </c:dLbls>
        <c:gapWidth val="219"/>
        <c:axId val="1782459999"/>
        <c:axId val="298114383"/>
      </c:barChart>
      <c:lineChart>
        <c:grouping val="standard"/>
        <c:varyColors val="0"/>
        <c:ser>
          <c:idx val="2"/>
          <c:order val="2"/>
          <c:tx>
            <c:strRef>
              <c:f>'Monthly Performance'!$D$3</c:f>
              <c:strCache>
                <c:ptCount val="1"/>
                <c:pt idx="0">
                  <c:v>Sum of 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'Monthly Performance'!$A$4:$A$16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 Performance'!$D$4:$D$16</c:f>
              <c:numCache>
                <c:formatCode>0.00</c:formatCode>
                <c:ptCount val="12"/>
                <c:pt idx="0">
                  <c:v>111538932</c:v>
                </c:pt>
                <c:pt idx="1">
                  <c:v>63881794</c:v>
                </c:pt>
                <c:pt idx="2">
                  <c:v>98908336</c:v>
                </c:pt>
                <c:pt idx="3">
                  <c:v>102851633</c:v>
                </c:pt>
                <c:pt idx="4">
                  <c:v>85703233</c:v>
                </c:pt>
                <c:pt idx="5">
                  <c:v>92371763</c:v>
                </c:pt>
                <c:pt idx="6">
                  <c:v>40929748</c:v>
                </c:pt>
                <c:pt idx="7">
                  <c:v>163981879</c:v>
                </c:pt>
                <c:pt idx="8">
                  <c:v>90394606</c:v>
                </c:pt>
                <c:pt idx="9">
                  <c:v>95717647</c:v>
                </c:pt>
                <c:pt idx="10">
                  <c:v>58488623</c:v>
                </c:pt>
                <c:pt idx="11">
                  <c:v>88910402</c:v>
                </c:pt>
              </c:numCache>
            </c:numRef>
          </c:val>
          <c:smooth val="0"/>
          <c:extLst>
            <c:ext xmlns:c16="http://schemas.microsoft.com/office/drawing/2014/chart" uri="{C3380CC4-5D6E-409C-BE32-E72D297353CC}">
              <c16:uniqueId val="{00000002-018F-4BFB-8A25-FE6BA2371D17}"/>
            </c:ext>
          </c:extLst>
        </c:ser>
        <c:dLbls>
          <c:showLegendKey val="0"/>
          <c:showVal val="0"/>
          <c:showCatName val="0"/>
          <c:showSerName val="0"/>
          <c:showPercent val="0"/>
          <c:showBubbleSize val="0"/>
        </c:dLbls>
        <c:marker val="1"/>
        <c:smooth val="0"/>
        <c:axId val="1782423807"/>
        <c:axId val="298111983"/>
      </c:lineChart>
      <c:catAx>
        <c:axId val="17824599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crossAx val="298114383"/>
        <c:crosses val="autoZero"/>
        <c:auto val="1"/>
        <c:lblAlgn val="ctr"/>
        <c:lblOffset val="100"/>
        <c:noMultiLvlLbl val="0"/>
      </c:catAx>
      <c:valAx>
        <c:axId val="298114383"/>
        <c:scaling>
          <c:orientation val="minMax"/>
        </c:scaling>
        <c:delete val="0"/>
        <c:axPos val="l"/>
        <c:majorGridlines>
          <c:spPr>
            <a:ln w="9525" cap="flat" cmpd="sng" algn="ctr">
              <a:solidFill>
                <a:srgbClr val="3A3A3A">
                  <a:alpha val="3000"/>
                </a:srgb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crossAx val="1782459999"/>
        <c:crosses val="autoZero"/>
        <c:crossBetween val="between"/>
      </c:valAx>
      <c:valAx>
        <c:axId val="298111983"/>
        <c:scaling>
          <c:orientation val="minMax"/>
        </c:scaling>
        <c:delete val="1"/>
        <c:axPos val="r"/>
        <c:numFmt formatCode="0.00" sourceLinked="1"/>
        <c:majorTickMark val="out"/>
        <c:minorTickMark val="none"/>
        <c:tickLblPos val="nextTo"/>
        <c:crossAx val="1782423807"/>
        <c:crosses val="max"/>
        <c:crossBetween val="between"/>
      </c:valAx>
      <c:catAx>
        <c:axId val="1782423807"/>
        <c:scaling>
          <c:orientation val="minMax"/>
        </c:scaling>
        <c:delete val="1"/>
        <c:axPos val="b"/>
        <c:numFmt formatCode="General" sourceLinked="1"/>
        <c:majorTickMark val="out"/>
        <c:minorTickMark val="none"/>
        <c:tickLblPos val="nextTo"/>
        <c:crossAx val="2981119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[Zenlytics Mentorship Submission-C2-Oso Moyinoluwa-ZN2-150.xlsx]Product Performance!PivotTable14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dLbl>
          <c:idx val="0"/>
          <c:layout>
            <c:manualLayout>
              <c:x val="-3.6111111111111212E-2"/>
              <c:y val="-9.392372653848173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s>
    <c:plotArea>
      <c:layout/>
      <c:barChart>
        <c:barDir val="col"/>
        <c:grouping val="clustered"/>
        <c:varyColors val="0"/>
        <c:ser>
          <c:idx val="0"/>
          <c:order val="0"/>
          <c:tx>
            <c:strRef>
              <c:f>'Product Performance'!$B$3</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4-B342-40C3-9BA8-467188BED0C4}"/>
              </c:ext>
            </c:extLst>
          </c:dPt>
          <c:dLbls>
            <c:dLbl>
              <c:idx val="2"/>
              <c:layout>
                <c:manualLayout>
                  <c:x val="-3.6111111111111212E-2"/>
                  <c:y val="-9.39237265384817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42-40C3-9BA8-467188BED0C4}"/>
                </c:ext>
              </c:extLst>
            </c:dLbl>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Performance'!$A$4:$A$7</c:f>
              <c:strCache>
                <c:ptCount val="3"/>
                <c:pt idx="0">
                  <c:v>Asobe Shirt</c:v>
                </c:pt>
                <c:pt idx="1">
                  <c:v>Zen T-Shirt</c:v>
                </c:pt>
                <c:pt idx="2">
                  <c:v>Unknown</c:v>
                </c:pt>
              </c:strCache>
            </c:strRef>
          </c:cat>
          <c:val>
            <c:numRef>
              <c:f>'Product Performance'!$B$4:$B$7</c:f>
              <c:numCache>
                <c:formatCode>0.00</c:formatCode>
                <c:ptCount val="3"/>
                <c:pt idx="0">
                  <c:v>818145397</c:v>
                </c:pt>
                <c:pt idx="1">
                  <c:v>1352741706</c:v>
                </c:pt>
                <c:pt idx="2">
                  <c:v>21359000</c:v>
                </c:pt>
              </c:numCache>
            </c:numRef>
          </c:val>
          <c:extLst>
            <c:ext xmlns:c16="http://schemas.microsoft.com/office/drawing/2014/chart" uri="{C3380CC4-5D6E-409C-BE32-E72D297353CC}">
              <c16:uniqueId val="{00000000-B342-40C3-9BA8-467188BED0C4}"/>
            </c:ext>
          </c:extLst>
        </c:ser>
        <c:dLbls>
          <c:dLblPos val="outEnd"/>
          <c:showLegendKey val="0"/>
          <c:showVal val="1"/>
          <c:showCatName val="0"/>
          <c:showSerName val="0"/>
          <c:showPercent val="0"/>
          <c:showBubbleSize val="0"/>
        </c:dLbls>
        <c:gapWidth val="219"/>
        <c:overlap val="-27"/>
        <c:axId val="540126624"/>
        <c:axId val="83816016"/>
      </c:barChart>
      <c:catAx>
        <c:axId val="54012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3816016"/>
        <c:crosses val="autoZero"/>
        <c:auto val="1"/>
        <c:lblAlgn val="ctr"/>
        <c:lblOffset val="100"/>
        <c:noMultiLvlLbl val="0"/>
      </c:catAx>
      <c:valAx>
        <c:axId val="83816016"/>
        <c:scaling>
          <c:orientation val="minMax"/>
        </c:scaling>
        <c:delete val="1"/>
        <c:axPos val="l"/>
        <c:numFmt formatCode="0.00" sourceLinked="1"/>
        <c:majorTickMark val="none"/>
        <c:minorTickMark val="none"/>
        <c:tickLblPos val="nextTo"/>
        <c:crossAx val="54012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[Zenlytics Mentorship Submission-C2-Oso Moyinoluwa-ZN2-150.xlsx]2024 vs 2025 Performance!PivotTable2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1">
                    <a:lumMod val="85000"/>
                  </a:schemeClr>
                </a:solidFill>
              </a:rPr>
              <a:t>2024 vs 2025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3"/>
          </a:solidFill>
          <a:ln>
            <a:noFill/>
          </a:ln>
          <a:effectLst/>
        </c:spPr>
        <c:dLbl>
          <c:idx val="0"/>
          <c:layout>
            <c:manualLayout>
              <c:x val="6.0221870047543584E-2"/>
              <c:y val="6.2111801242236024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1.5847860538827259E-2"/>
              <c:y val="-3.7267080745341616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2678288431061807E-2"/>
              <c:y val="-2.4844720496894408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2678288431061807E-2"/>
              <c:y val="-2.4844720496894408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1.5847860538827259E-2"/>
              <c:y val="-3.7267080745341616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dLbl>
          <c:idx val="0"/>
          <c:layout>
            <c:manualLayout>
              <c:x val="6.0221870047543584E-2"/>
              <c:y val="6.2111801242236024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8.2987551867219917E-3"/>
              <c:y val="-5.3605618560084181E-17"/>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2.4146763812199823E-2"/>
              <c:y val="-4.896256389004006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6.0221870047543584E-2"/>
              <c:y val="6.2111801242236024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8.2987551867219917E-3"/>
              <c:y val="-5.3605618560084181E-17"/>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2.4146763812199823E-2"/>
              <c:y val="-4.896256389004006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c:spPr>
        <c:dLbl>
          <c:idx val="0"/>
          <c:layout>
            <c:manualLayout>
              <c:x val="6.0221870047543584E-2"/>
              <c:y val="6.2111801242236024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43153526970952E-2"/>
          <c:y val="0.38385964912280701"/>
          <c:w val="0.65453621720521449"/>
          <c:h val="0.34481558226274345"/>
        </c:manualLayout>
      </c:layout>
      <c:barChart>
        <c:barDir val="col"/>
        <c:grouping val="clustered"/>
        <c:varyColors val="0"/>
        <c:ser>
          <c:idx val="0"/>
          <c:order val="0"/>
          <c:tx>
            <c:strRef>
              <c:f>'2024 vs 2025 Performance'!$B$3</c:f>
              <c:strCache>
                <c:ptCount val="1"/>
                <c:pt idx="0">
                  <c:v>Sum of Revenue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839-4497-A160-0ACDC1F11D2A}"/>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C839-4497-A160-0ACDC1F11D2A}"/>
              </c:ext>
            </c:extLst>
          </c:dPt>
          <c:dLbls>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39-4497-A160-0ACDC1F11D2A}"/>
                </c:ext>
              </c:extLst>
            </c:dLbl>
            <c:dLbl>
              <c:idx val="1"/>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39-4497-A160-0ACDC1F11D2A}"/>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'2024 vs 2025 Performance'!$A$4:$A$6</c:f>
              <c:strCache>
                <c:ptCount val="2"/>
                <c:pt idx="0">
                  <c:v>2024</c:v>
                </c:pt>
                <c:pt idx="1">
                  <c:v>2025</c:v>
                </c:pt>
              </c:strCache>
            </c:strRef>
          </c:cat>
          <c:val>
            <c:numRef>
              <c:f>'2024 vs 2025 Performance'!$B$4:$B$6</c:f>
              <c:numCache>
                <c:formatCode>0.00</c:formatCode>
                <c:ptCount val="2"/>
                <c:pt idx="0">
                  <c:v>1103061597</c:v>
                </c:pt>
                <c:pt idx="1">
                  <c:v>1089184506</c:v>
                </c:pt>
              </c:numCache>
            </c:numRef>
          </c:val>
          <c:extLst>
            <c:ext xmlns:c16="http://schemas.microsoft.com/office/drawing/2014/chart" uri="{C3380CC4-5D6E-409C-BE32-E72D297353CC}">
              <c16:uniqueId val="{00000004-C839-4497-A160-0ACDC1F11D2A}"/>
            </c:ext>
          </c:extLst>
        </c:ser>
        <c:ser>
          <c:idx val="1"/>
          <c:order val="1"/>
          <c:tx>
            <c:strRef>
              <c:f>'2024 vs 2025 Performance'!$C$3</c:f>
              <c:strCache>
                <c:ptCount val="1"/>
                <c:pt idx="0">
                  <c:v>Sum of Expenses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5-C839-4497-A160-0ACDC1F11D2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6-C839-4497-A160-0ACDC1F11D2A}"/>
              </c:ext>
            </c:extLst>
          </c:dPt>
          <c:dLbls>
            <c:dLbl>
              <c:idx val="0"/>
              <c:layout>
                <c:manualLayout>
                  <c:x val="1.6827523115627144E-2"/>
                  <c:y val="-3.6540958695952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39-4497-A160-0ACDC1F11D2A}"/>
                </c:ext>
              </c:extLst>
            </c:dLbl>
            <c:dLbl>
              <c:idx val="1"/>
              <c:layout>
                <c:manualLayout>
                  <c:x val="1.6827523115627144E-2"/>
                  <c:y val="-3.6540958695952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839-4497-A160-0ACDC1F11D2A}"/>
                </c:ext>
              </c:extLst>
            </c:dLbl>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'2024 vs 2025 Performance'!$A$4:$A$6</c:f>
              <c:strCache>
                <c:ptCount val="2"/>
                <c:pt idx="0">
                  <c:v>2024</c:v>
                </c:pt>
                <c:pt idx="1">
                  <c:v>2025</c:v>
                </c:pt>
              </c:strCache>
            </c:strRef>
          </c:cat>
          <c:val>
            <c:numRef>
              <c:f>'2024 vs 2025 Performance'!$C$4:$C$6</c:f>
              <c:numCache>
                <c:formatCode>0.00</c:formatCode>
                <c:ptCount val="2"/>
                <c:pt idx="0">
                  <c:v>591129596</c:v>
                </c:pt>
                <c:pt idx="1">
                  <c:v>507437911</c:v>
                </c:pt>
              </c:numCache>
            </c:numRef>
          </c:val>
          <c:extLst>
            <c:ext xmlns:c16="http://schemas.microsoft.com/office/drawing/2014/chart" uri="{C3380CC4-5D6E-409C-BE32-E72D297353CC}">
              <c16:uniqueId val="{00000007-C839-4497-A160-0ACDC1F11D2A}"/>
            </c:ext>
          </c:extLst>
        </c:ser>
        <c:ser>
          <c:idx val="2"/>
          <c:order val="2"/>
          <c:tx>
            <c:strRef>
              <c:f>'2024 vs 2025 Performance'!$D$3</c:f>
              <c:strCache>
                <c:ptCount val="1"/>
                <c:pt idx="0">
                  <c:v>Sum of Profit</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9-C839-4497-A160-0ACDC1F11D2A}"/>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B-C839-4497-A160-0ACDC1F11D2A}"/>
              </c:ext>
            </c:extLst>
          </c:dPt>
          <c:dLbls>
            <c:dLbl>
              <c:idx val="0"/>
              <c:layout>
                <c:manualLayout>
                  <c:x val="3.1695721077654518E-2"/>
                  <c:y val="4.96894409937887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839-4497-A160-0ACDC1F11D2A}"/>
                </c:ext>
              </c:extLst>
            </c:dLbl>
            <c:dLbl>
              <c:idx val="1"/>
              <c:layout>
                <c:manualLayout>
                  <c:x val="3.1695721077654518E-2"/>
                  <c:y val="4.96894409937887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839-4497-A160-0ACDC1F11D2A}"/>
                </c:ext>
              </c:extLst>
            </c:dLbl>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'2024 vs 2025 Performance'!$A$4:$A$6</c:f>
              <c:strCache>
                <c:ptCount val="2"/>
                <c:pt idx="0">
                  <c:v>2024</c:v>
                </c:pt>
                <c:pt idx="1">
                  <c:v>2025</c:v>
                </c:pt>
              </c:strCache>
            </c:strRef>
          </c:cat>
          <c:val>
            <c:numRef>
              <c:f>'2024 vs 2025 Performance'!$D$4:$D$6</c:f>
              <c:numCache>
                <c:formatCode>0.00</c:formatCode>
                <c:ptCount val="2"/>
                <c:pt idx="0">
                  <c:v>511932001</c:v>
                </c:pt>
                <c:pt idx="1">
                  <c:v>581746595</c:v>
                </c:pt>
              </c:numCache>
            </c:numRef>
          </c:val>
          <c:extLst>
            <c:ext xmlns:c16="http://schemas.microsoft.com/office/drawing/2014/chart" uri="{C3380CC4-5D6E-409C-BE32-E72D297353CC}">
              <c16:uniqueId val="{0000000C-C839-4497-A160-0ACDC1F11D2A}"/>
            </c:ext>
          </c:extLst>
        </c:ser>
        <c:dLbls>
          <c:dLblPos val="outEnd"/>
          <c:showLegendKey val="0"/>
          <c:showVal val="1"/>
          <c:showCatName val="0"/>
          <c:showSerName val="0"/>
          <c:showPercent val="0"/>
          <c:showBubbleSize val="0"/>
        </c:dLbls>
        <c:gapWidth val="219"/>
        <c:overlap val="-27"/>
        <c:axId val="1004420095"/>
        <c:axId val="298164303"/>
      </c:barChart>
      <c:catAx>
        <c:axId val="100442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crossAx val="298164303"/>
        <c:crosses val="autoZero"/>
        <c:auto val="1"/>
        <c:lblAlgn val="ctr"/>
        <c:lblOffset val="100"/>
        <c:noMultiLvlLbl val="0"/>
      </c:catAx>
      <c:valAx>
        <c:axId val="298164303"/>
        <c:scaling>
          <c:orientation val="minMax"/>
        </c:scaling>
        <c:delete val="1"/>
        <c:axPos val="l"/>
        <c:numFmt formatCode="&quot;₦&quot;0.0,,&quot;M&quot;" sourceLinked="0"/>
        <c:majorTickMark val="none"/>
        <c:minorTickMark val="none"/>
        <c:tickLblPos val="nextTo"/>
        <c:crossAx val="1004420095"/>
        <c:crosses val="autoZero"/>
        <c:crossBetween val="between"/>
      </c:valAx>
      <c:spPr>
        <a:noFill/>
        <a:ln>
          <a:noFill/>
        </a:ln>
        <a:effectLst/>
      </c:spPr>
    </c:plotArea>
    <c:legend>
      <c:legendPos val="r"/>
      <c:layout>
        <c:manualLayout>
          <c:xMode val="edge"/>
          <c:yMode val="edge"/>
          <c:x val="0.74582252425915652"/>
          <c:y val="0.16780494543445226"/>
          <c:w val="0.24172934296076062"/>
          <c:h val="0.7558520974351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[Zenlytics Mentorship Submission-C2-Oso Moyinoluwa-ZN2-150.xlsx]Monthly Performance!PivotTable1</c:name>
    <c:fmtId val="12"/>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r>
              <a:rPr lang="en-US" sz="1200" b="1">
                <a:solidFill>
                  <a:schemeClr val="bg1">
                    <a:lumMod val="85000"/>
                  </a:schemeClr>
                </a:solidFill>
              </a:rPr>
              <a:t>Monthly Performance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5"/>
        <c:spPr>
          <a:solidFill>
            <a:srgbClr val="E8B84B"/>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A9673A"/>
          </a:solidFill>
          <a:ln>
            <a:noFill/>
          </a:ln>
          <a:effectLst/>
        </c:spPr>
        <c:marker>
          <c:symbol val="none"/>
        </c:marker>
        <c:dLbl>
          <c:idx val="0"/>
          <c:delete val="1"/>
          <c:extLst>
            <c:ext xmlns:c15="http://schemas.microsoft.com/office/drawing/2012/chart" uri="{CE6537A1-D6FC-4f65-9D91-7224C49458BB}"/>
          </c:extLst>
        </c:dLbl>
      </c:pivotFmt>
      <c:pivotFmt>
        <c:idx val="17"/>
        <c:spPr>
          <a:ln w="28575" cap="rnd">
            <a:solidFill>
              <a:schemeClr val="accent3"/>
            </a:solidFill>
            <a:round/>
          </a:ln>
          <a:effectLst/>
        </c:spPr>
        <c:marker>
          <c:symbol val="circle"/>
          <c:size val="5"/>
          <c:spPr>
            <a:solidFill>
              <a:srgbClr val="EAD9A0"/>
            </a:solidFill>
            <a:ln w="9525">
              <a:solidFill>
                <a:schemeClr val="accent3"/>
              </a:solidFill>
            </a:ln>
            <a:effectLst/>
          </c:spPr>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'Monthly Performance'!$B$3</c:f>
              <c:strCache>
                <c:ptCount val="1"/>
                <c:pt idx="0">
                  <c:v>Sum of Revenue</c:v>
                </c:pt>
              </c:strCache>
            </c:strRef>
          </c:tx>
          <c:spPr>
            <a:solidFill>
              <a:srgbClr val="E8B84B"/>
            </a:solidFill>
            <a:ln>
              <a:noFill/>
            </a:ln>
            <a:effectLst/>
          </c:spPr>
          <c:invertIfNegative val="0"/>
          <c:cat>
            <c:strRef>
              <c:f>'Monthly Performance'!$A$4:$A$16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 Performance'!$B$4:$B$16</c:f>
              <c:numCache>
                <c:formatCode>0.00</c:formatCode>
                <c:ptCount val="12"/>
                <c:pt idx="0">
                  <c:v>194852392</c:v>
                </c:pt>
                <c:pt idx="1">
                  <c:v>126317039</c:v>
                </c:pt>
                <c:pt idx="2">
                  <c:v>227375035</c:v>
                </c:pt>
                <c:pt idx="3">
                  <c:v>192250122</c:v>
                </c:pt>
                <c:pt idx="4">
                  <c:v>171236022</c:v>
                </c:pt>
                <c:pt idx="5">
                  <c:v>175132919</c:v>
                </c:pt>
                <c:pt idx="6">
                  <c:v>113235097</c:v>
                </c:pt>
                <c:pt idx="7">
                  <c:v>333261357</c:v>
                </c:pt>
                <c:pt idx="8">
                  <c:v>187401897</c:v>
                </c:pt>
                <c:pt idx="9">
                  <c:v>190245851</c:v>
                </c:pt>
                <c:pt idx="10">
                  <c:v>112305588</c:v>
                </c:pt>
                <c:pt idx="11">
                  <c:v>168632784</c:v>
                </c:pt>
              </c:numCache>
            </c:numRef>
          </c:val>
          <c:extLst>
            <c:ext xmlns:c16="http://schemas.microsoft.com/office/drawing/2014/chart" uri="{C3380CC4-5D6E-409C-BE32-E72D297353CC}">
              <c16:uniqueId val="{00000000-9CAE-48E3-A3AE-3BEA9EF16EFC}"/>
            </c:ext>
          </c:extLst>
        </c:ser>
        <c:ser>
          <c:idx val="1"/>
          <c:order val="1"/>
          <c:tx>
            <c:strRef>
              <c:f>'Monthly Performance'!$C$3</c:f>
              <c:strCache>
                <c:ptCount val="1"/>
                <c:pt idx="0">
                  <c:v>Sum of Expenses</c:v>
                </c:pt>
              </c:strCache>
            </c:strRef>
          </c:tx>
          <c:spPr>
            <a:solidFill>
              <a:srgbClr val="A9673A"/>
            </a:solidFill>
            <a:ln>
              <a:noFill/>
            </a:ln>
            <a:effectLst/>
          </c:spPr>
          <c:invertIfNegative val="0"/>
          <c:cat>
            <c:strRef>
              <c:f>'Monthly Performance'!$A$4:$A$16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 Performance'!$C$4:$C$16</c:f>
              <c:numCache>
                <c:formatCode>0.00</c:formatCode>
                <c:ptCount val="12"/>
                <c:pt idx="0">
                  <c:v>83313460</c:v>
                </c:pt>
                <c:pt idx="1">
                  <c:v>62435245</c:v>
                </c:pt>
                <c:pt idx="2">
                  <c:v>128466699</c:v>
                </c:pt>
                <c:pt idx="3">
                  <c:v>89398489</c:v>
                </c:pt>
                <c:pt idx="4">
                  <c:v>85532789</c:v>
                </c:pt>
                <c:pt idx="5">
                  <c:v>82761156</c:v>
                </c:pt>
                <c:pt idx="6">
                  <c:v>72305349</c:v>
                </c:pt>
                <c:pt idx="7">
                  <c:v>169279478</c:v>
                </c:pt>
                <c:pt idx="8">
                  <c:v>97007291</c:v>
                </c:pt>
                <c:pt idx="9">
                  <c:v>94528204</c:v>
                </c:pt>
                <c:pt idx="10">
                  <c:v>53816965</c:v>
                </c:pt>
                <c:pt idx="11">
                  <c:v>79722382</c:v>
                </c:pt>
              </c:numCache>
            </c:numRef>
          </c:val>
          <c:extLst>
            <c:ext xmlns:c16="http://schemas.microsoft.com/office/drawing/2014/chart" uri="{C3380CC4-5D6E-409C-BE32-E72D297353CC}">
              <c16:uniqueId val="{00000001-9CAE-48E3-A3AE-3BEA9EF16EFC}"/>
            </c:ext>
          </c:extLst>
        </c:ser>
        <c:dLbls>
          <c:showLegendKey val="0"/>
          <c:showVal val="0"/>
          <c:showCatName val="0"/>
          <c:showSerName val="0"/>
          <c:showPercent val="0"/>
          <c:showBubbleSize val="0"/>
        </c:dLbls>
        <c:gapWidth val="219"/>
        <c:axId val="1782459999"/>
        <c:axId val="298114383"/>
      </c:barChart>
      <c:lineChart>
        <c:grouping val="standard"/>
        <c:varyColors val="0"/>
        <c:ser>
          <c:idx val="2"/>
          <c:order val="2"/>
          <c:tx>
            <c:strRef>
              <c:f>'Monthly Performance'!$D$3</c:f>
              <c:strCache>
                <c:ptCount val="1"/>
                <c:pt idx="0">
                  <c:v>Sum of Profit</c:v>
                </c:pt>
              </c:strCache>
            </c:strRef>
          </c:tx>
          <c:spPr>
            <a:ln w="28575" cap="rnd">
              <a:solidFill>
                <a:schemeClr val="accent3"/>
              </a:solidFill>
              <a:round/>
            </a:ln>
            <a:effectLst/>
          </c:spPr>
          <c:marker>
            <c:symbol val="circle"/>
            <c:size val="5"/>
            <c:spPr>
              <a:solidFill>
                <a:srgbClr val="EAD9A0"/>
              </a:solidFill>
              <a:ln w="9525">
                <a:solidFill>
                  <a:schemeClr val="accent3"/>
                </a:solidFill>
              </a:ln>
              <a:effectLst/>
            </c:spPr>
          </c:marker>
          <c:cat>
            <c:strRef>
              <c:f>'Monthly Performance'!$A$4:$A$16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 Performance'!$D$4:$D$16</c:f>
              <c:numCache>
                <c:formatCode>0.00</c:formatCode>
                <c:ptCount val="12"/>
                <c:pt idx="0">
                  <c:v>111538932</c:v>
                </c:pt>
                <c:pt idx="1">
                  <c:v>63881794</c:v>
                </c:pt>
                <c:pt idx="2">
                  <c:v>98908336</c:v>
                </c:pt>
                <c:pt idx="3">
                  <c:v>102851633</c:v>
                </c:pt>
                <c:pt idx="4">
                  <c:v>85703233</c:v>
                </c:pt>
                <c:pt idx="5">
                  <c:v>92371763</c:v>
                </c:pt>
                <c:pt idx="6">
                  <c:v>40929748</c:v>
                </c:pt>
                <c:pt idx="7">
                  <c:v>163981879</c:v>
                </c:pt>
                <c:pt idx="8">
                  <c:v>90394606</c:v>
                </c:pt>
                <c:pt idx="9">
                  <c:v>95717647</c:v>
                </c:pt>
                <c:pt idx="10">
                  <c:v>58488623</c:v>
                </c:pt>
                <c:pt idx="11">
                  <c:v>88910402</c:v>
                </c:pt>
              </c:numCache>
            </c:numRef>
          </c:val>
          <c:smooth val="0"/>
          <c:extLst>
            <c:ext xmlns:c16="http://schemas.microsoft.com/office/drawing/2014/chart" uri="{C3380CC4-5D6E-409C-BE32-E72D297353CC}">
              <c16:uniqueId val="{00000002-9CAE-48E3-A3AE-3BEA9EF16EFC}"/>
            </c:ext>
          </c:extLst>
        </c:ser>
        <c:dLbls>
          <c:showLegendKey val="0"/>
          <c:showVal val="0"/>
          <c:showCatName val="0"/>
          <c:showSerName val="0"/>
          <c:showPercent val="0"/>
          <c:showBubbleSize val="0"/>
        </c:dLbls>
        <c:marker val="1"/>
        <c:smooth val="0"/>
        <c:axId val="1782423807"/>
        <c:axId val="298111983"/>
      </c:lineChart>
      <c:catAx>
        <c:axId val="17824599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crossAx val="298114383"/>
        <c:crosses val="autoZero"/>
        <c:auto val="1"/>
        <c:lblAlgn val="ctr"/>
        <c:lblOffset val="100"/>
        <c:noMultiLvlLbl val="0"/>
      </c:catAx>
      <c:valAx>
        <c:axId val="298114383"/>
        <c:scaling>
          <c:orientation val="minMax"/>
        </c:scaling>
        <c:delete val="0"/>
        <c:axPos val="l"/>
        <c:majorGridlines>
          <c:spPr>
            <a:ln w="9525" cap="flat" cmpd="sng" algn="ctr">
              <a:solidFill>
                <a:srgbClr val="3A3A3A">
                  <a:alpha val="3000"/>
                </a:srgb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crossAx val="1782459999"/>
        <c:crosses val="autoZero"/>
        <c:crossBetween val="between"/>
      </c:valAx>
      <c:valAx>
        <c:axId val="298111983"/>
        <c:scaling>
          <c:orientation val="minMax"/>
        </c:scaling>
        <c:delete val="1"/>
        <c:axPos val="r"/>
        <c:numFmt formatCode="0.00" sourceLinked="1"/>
        <c:majorTickMark val="out"/>
        <c:minorTickMark val="none"/>
        <c:tickLblPos val="nextTo"/>
        <c:crossAx val="1782423807"/>
        <c:crosses val="max"/>
        <c:crossBetween val="between"/>
      </c:valAx>
      <c:catAx>
        <c:axId val="1782423807"/>
        <c:scaling>
          <c:orientation val="minMax"/>
        </c:scaling>
        <c:delete val="1"/>
        <c:axPos val="b"/>
        <c:numFmt formatCode="General" sourceLinked="1"/>
        <c:majorTickMark val="out"/>
        <c:minorTickMark val="none"/>
        <c:tickLblPos val="nextTo"/>
        <c:crossAx val="298111983"/>
        <c:crosses val="autoZero"/>
        <c:auto val="1"/>
        <c:lblAlgn val="ctr"/>
        <c:lblOffset val="100"/>
        <c:noMultiLvlLbl val="0"/>
      </c:catAx>
      <c:spPr>
        <a:noFill/>
        <a:ln>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legend>
    <c:plotVisOnly val="1"/>
    <c:dispBlanksAs val="gap"/>
    <c:showDLblsOverMax val="0"/>
    <c:extLst/>
  </c:chart>
  <c:spPr>
    <a:solidFill>
      <a:schemeClr val="tx1">
        <a:lumMod val="85000"/>
        <a:lumOff val="1500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[Zenlytics Mentorship Submission-C2-Oso Moyinoluwa-ZN2-150.xlsx]Product Performance!PivotTable14</c:name>
    <c:fmtId val="11"/>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r>
              <a:rPr lang="en-US" sz="1200" b="1">
                <a:solidFill>
                  <a:schemeClr val="bg1">
                    <a:lumMod val="85000"/>
                  </a:schemeClr>
                </a:solidFill>
              </a:rPr>
              <a:t>Revenue by Product</a:t>
            </a:r>
          </a:p>
        </c:rich>
      </c:tx>
      <c:overlay val="0"/>
      <c:spPr>
        <a:noFill/>
        <a:ln>
          <a:noFill/>
        </a:ln>
        <a:effectLst/>
      </c:spPr>
    </c:title>
    <c:autoTitleDeleted val="0"/>
    <c:pivotFmts>
      <c:pivotFmt>
        <c:idx val="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dLbl>
          <c:idx val="0"/>
          <c:layout>
            <c:manualLayout>
              <c:x val="-3.6111111111111212E-2"/>
              <c:y val="-9.392372653848173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6111111111111212E-2"/>
              <c:y val="-9.392372653848173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3.6111111111111212E-2"/>
              <c:y val="-9.392372653848173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6111111111111212E-2"/>
              <c:y val="-9.392372653848173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6111111111111212E-2"/>
              <c:y val="-9.392372653848173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8B84B"/>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3.6111111111111212E-2"/>
              <c:y val="-9.392372653848173E-3"/>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Performance'!$B$3</c:f>
              <c:strCache>
                <c:ptCount val="1"/>
                <c:pt idx="0">
                  <c:v>Total</c:v>
                </c:pt>
              </c:strCache>
            </c:strRef>
          </c:tx>
          <c:spPr>
            <a:solidFill>
              <a:srgbClr val="E8B84B"/>
            </a:solidFill>
            <a:ln>
              <a:noFill/>
            </a:ln>
            <a:effectLst/>
          </c:spPr>
          <c:invertIfNegative val="0"/>
          <c:dPt>
            <c:idx val="2"/>
            <c:invertIfNegative val="0"/>
            <c:bubble3D val="0"/>
            <c:extLst>
              <c:ext xmlns:c16="http://schemas.microsoft.com/office/drawing/2014/chart" uri="{C3380CC4-5D6E-409C-BE32-E72D297353CC}">
                <c16:uniqueId val="{00000000-7D62-4C4E-BA80-D7FDCEA216D6}"/>
              </c:ext>
            </c:extLst>
          </c:dPt>
          <c:dLbls>
            <c:dLbl>
              <c:idx val="2"/>
              <c:layout>
                <c:manualLayout>
                  <c:x val="-3.6111111111111212E-2"/>
                  <c:y val="-9.39237265384817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62-4C4E-BA80-D7FDCEA216D6}"/>
                </c:ext>
              </c:extLst>
            </c:dLbl>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Performance'!$A$4:$A$7</c:f>
              <c:strCache>
                <c:ptCount val="3"/>
                <c:pt idx="0">
                  <c:v>Asobe Shirt</c:v>
                </c:pt>
                <c:pt idx="1">
                  <c:v>Zen T-Shirt</c:v>
                </c:pt>
                <c:pt idx="2">
                  <c:v>Unknown</c:v>
                </c:pt>
              </c:strCache>
            </c:strRef>
          </c:cat>
          <c:val>
            <c:numRef>
              <c:f>'Product Performance'!$B$4:$B$7</c:f>
              <c:numCache>
                <c:formatCode>0.00</c:formatCode>
                <c:ptCount val="3"/>
                <c:pt idx="0">
                  <c:v>818145397</c:v>
                </c:pt>
                <c:pt idx="1">
                  <c:v>1352741706</c:v>
                </c:pt>
                <c:pt idx="2">
                  <c:v>21359000</c:v>
                </c:pt>
              </c:numCache>
            </c:numRef>
          </c:val>
          <c:extLst>
            <c:ext xmlns:c16="http://schemas.microsoft.com/office/drawing/2014/chart" uri="{C3380CC4-5D6E-409C-BE32-E72D297353CC}">
              <c16:uniqueId val="{00000001-7D62-4C4E-BA80-D7FDCEA216D6}"/>
            </c:ext>
          </c:extLst>
        </c:ser>
        <c:dLbls>
          <c:dLblPos val="outEnd"/>
          <c:showLegendKey val="0"/>
          <c:showVal val="1"/>
          <c:showCatName val="0"/>
          <c:showSerName val="0"/>
          <c:showPercent val="0"/>
          <c:showBubbleSize val="0"/>
        </c:dLbls>
        <c:gapWidth val="219"/>
        <c:overlap val="-27"/>
        <c:axId val="540126624"/>
        <c:axId val="83816016"/>
      </c:barChart>
      <c:catAx>
        <c:axId val="54012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crossAx val="83816016"/>
        <c:crosses val="autoZero"/>
        <c:auto val="1"/>
        <c:lblAlgn val="ctr"/>
        <c:lblOffset val="100"/>
        <c:noMultiLvlLbl val="0"/>
      </c:catAx>
      <c:valAx>
        <c:axId val="83816016"/>
        <c:scaling>
          <c:orientation val="minMax"/>
        </c:scaling>
        <c:delete val="1"/>
        <c:axPos val="l"/>
        <c:numFmt formatCode="0.00" sourceLinked="1"/>
        <c:majorTickMark val="none"/>
        <c:minorTickMark val="none"/>
        <c:tickLblPos val="nextTo"/>
        <c:crossAx val="540126624"/>
        <c:crosses val="autoZero"/>
        <c:crossBetween val="between"/>
      </c:valAx>
      <c:spPr>
        <a:no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legend>
    <c:plotVisOnly val="1"/>
    <c:dispBlanksAs val="gap"/>
    <c:showDLblsOverMax val="0"/>
    <c:extLst/>
  </c:chart>
  <c:spPr>
    <a:solidFill>
      <a:schemeClr val="tx1">
        <a:lumMod val="85000"/>
        <a:lumOff val="15000"/>
      </a:schemeClr>
    </a:solidFill>
    <a:ln>
      <a:noFill/>
    </a:ln>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[Zenlytics Mentorship Submission-C2-Oso Moyinoluwa-ZN2-150.xlsx]2024 vs 2025 Performance!PivotTable2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lumMod val="85000"/>
                  </a:schemeClr>
                </a:solidFill>
              </a:rPr>
              <a:t>2024 vs 2025 Performance</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3"/>
          </a:solidFill>
          <a:ln>
            <a:noFill/>
          </a:ln>
          <a:effectLst/>
        </c:spPr>
        <c:dLbl>
          <c:idx val="0"/>
          <c:layout>
            <c:manualLayout>
              <c:x val="6.0221870047543584E-2"/>
              <c:y val="6.2111801242236024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1.5847860538827259E-2"/>
              <c:y val="-3.7267080745341616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2678288431061807E-2"/>
              <c:y val="-2.4844720496894408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2678288431061807E-2"/>
              <c:y val="-2.4844720496894408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1.5847860538827259E-2"/>
              <c:y val="-3.7267080745341616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dLbl>
          <c:idx val="0"/>
          <c:layout>
            <c:manualLayout>
              <c:x val="6.0221870047543584E-2"/>
              <c:y val="6.2111801242236024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8.2987551867219917E-3"/>
              <c:y val="-5.3605618560084181E-17"/>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2.4146763812199823E-2"/>
              <c:y val="-4.896256389004006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6.0221870047543584E-2"/>
              <c:y val="6.2111801242236024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8.2987551867219917E-3"/>
              <c:y val="-5.3605618560084181E-17"/>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2.4146763812199823E-2"/>
              <c:y val="-4.896256389004006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c:spPr>
        <c:dLbl>
          <c:idx val="0"/>
          <c:layout>
            <c:manualLayout>
              <c:x val="6.0221870047543584E-2"/>
              <c:y val="6.2111801242236024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c:spPr>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solidFill>
          <a:ln>
            <a:noFill/>
          </a:ln>
          <a:effectLst/>
        </c:spPr>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3"/>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2"/>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3"/>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3"/>
          </a:solidFill>
          <a:ln>
            <a:noFill/>
          </a:ln>
          <a:effectLst/>
        </c:spPr>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rgbClr val="E8B8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A9673A"/>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dLbl>
          <c:idx val="0"/>
          <c:layout>
            <c:manualLayout>
              <c:x val="1.6827523115627144E-2"/>
              <c:y val="-3.654095869595253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D9C28A"/>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dLbl>
          <c:idx val="0"/>
          <c:layout>
            <c:manualLayout>
              <c:x val="3.1695721077654518E-2"/>
              <c:y val="4.9689440993788761E-2"/>
            </c:manualLayout>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43153526970952E-2"/>
          <c:y val="0.38385964912280701"/>
          <c:w val="0.65453621720521449"/>
          <c:h val="0.34481558226274345"/>
        </c:manualLayout>
      </c:layout>
      <c:barChart>
        <c:barDir val="col"/>
        <c:grouping val="clustered"/>
        <c:varyColors val="0"/>
        <c:ser>
          <c:idx val="0"/>
          <c:order val="0"/>
          <c:tx>
            <c:strRef>
              <c:f>'2024 vs 2025 Performance'!$B$3</c:f>
              <c:strCache>
                <c:ptCount val="1"/>
                <c:pt idx="0">
                  <c:v>Sum of Revenue</c:v>
                </c:pt>
              </c:strCache>
            </c:strRef>
          </c:tx>
          <c:spPr>
            <a:solidFill>
              <a:srgbClr val="E8B84B"/>
            </a:solidFill>
            <a:ln>
              <a:noFill/>
            </a:ln>
            <a:effectLst/>
          </c:spPr>
          <c:invertIfNegative val="0"/>
          <c:dPt>
            <c:idx val="0"/>
            <c:invertIfNegative val="0"/>
            <c:bubble3D val="0"/>
            <c:extLst>
              <c:ext xmlns:c16="http://schemas.microsoft.com/office/drawing/2014/chart" uri="{C3380CC4-5D6E-409C-BE32-E72D297353CC}">
                <c16:uniqueId val="{00000000-3280-4D34-885A-F6CB56676DFB}"/>
              </c:ext>
            </c:extLst>
          </c:dPt>
          <c:dPt>
            <c:idx val="1"/>
            <c:invertIfNegative val="0"/>
            <c:bubble3D val="0"/>
            <c:extLst>
              <c:ext xmlns:c16="http://schemas.microsoft.com/office/drawing/2014/chart" uri="{C3380CC4-5D6E-409C-BE32-E72D297353CC}">
                <c16:uniqueId val="{00000001-3280-4D34-885A-F6CB56676DFB}"/>
              </c:ext>
            </c:extLst>
          </c:dPt>
          <c:dLbls>
            <c:dLbl>
              <c:idx val="0"/>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80-4D34-885A-F6CB56676DFB}"/>
                </c:ext>
              </c:extLst>
            </c:dLbl>
            <c:dLbl>
              <c:idx val="1"/>
              <c:layout>
                <c:manualLayout>
                  <c:x val="-8.2987551867219917E-3"/>
                  <c:y val="0"/>
                </c:manualLayout>
              </c:layout>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80-4D34-885A-F6CB56676DFB}"/>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'2024 vs 2025 Performance'!$A$4:$A$6</c:f>
              <c:strCache>
                <c:ptCount val="2"/>
                <c:pt idx="0">
                  <c:v>2024</c:v>
                </c:pt>
                <c:pt idx="1">
                  <c:v>2025</c:v>
                </c:pt>
              </c:strCache>
            </c:strRef>
          </c:cat>
          <c:val>
            <c:numRef>
              <c:f>'2024 vs 2025 Performance'!$B$4:$B$6</c:f>
              <c:numCache>
                <c:formatCode>0.00</c:formatCode>
                <c:ptCount val="2"/>
                <c:pt idx="0">
                  <c:v>1103061597</c:v>
                </c:pt>
                <c:pt idx="1">
                  <c:v>1089184506</c:v>
                </c:pt>
              </c:numCache>
            </c:numRef>
          </c:val>
          <c:extLst>
            <c:ext xmlns:c16="http://schemas.microsoft.com/office/drawing/2014/chart" uri="{C3380CC4-5D6E-409C-BE32-E72D297353CC}">
              <c16:uniqueId val="{00000002-3280-4D34-885A-F6CB56676DFB}"/>
            </c:ext>
          </c:extLst>
        </c:ser>
        <c:ser>
          <c:idx val="1"/>
          <c:order val="1"/>
          <c:tx>
            <c:strRef>
              <c:f>'2024 vs 2025 Performance'!$C$3</c:f>
              <c:strCache>
                <c:ptCount val="1"/>
                <c:pt idx="0">
                  <c:v>Sum of Expenses</c:v>
                </c:pt>
              </c:strCache>
            </c:strRef>
          </c:tx>
          <c:spPr>
            <a:solidFill>
              <a:srgbClr val="A9673A"/>
            </a:solidFill>
            <a:ln>
              <a:noFill/>
            </a:ln>
            <a:effectLst/>
          </c:spPr>
          <c:invertIfNegative val="0"/>
          <c:dPt>
            <c:idx val="0"/>
            <c:invertIfNegative val="0"/>
            <c:bubble3D val="0"/>
            <c:extLst>
              <c:ext xmlns:c16="http://schemas.microsoft.com/office/drawing/2014/chart" uri="{C3380CC4-5D6E-409C-BE32-E72D297353CC}">
                <c16:uniqueId val="{00000003-3280-4D34-885A-F6CB56676DFB}"/>
              </c:ext>
            </c:extLst>
          </c:dPt>
          <c:dPt>
            <c:idx val="1"/>
            <c:invertIfNegative val="0"/>
            <c:bubble3D val="0"/>
            <c:extLst>
              <c:ext xmlns:c16="http://schemas.microsoft.com/office/drawing/2014/chart" uri="{C3380CC4-5D6E-409C-BE32-E72D297353CC}">
                <c16:uniqueId val="{00000004-3280-4D34-885A-F6CB56676DFB}"/>
              </c:ext>
            </c:extLst>
          </c:dPt>
          <c:dLbls>
            <c:dLbl>
              <c:idx val="0"/>
              <c:layout>
                <c:manualLayout>
                  <c:x val="1.6827523115627144E-2"/>
                  <c:y val="-3.6540958695952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80-4D34-885A-F6CB56676DFB}"/>
                </c:ext>
              </c:extLst>
            </c:dLbl>
            <c:dLbl>
              <c:idx val="1"/>
              <c:layout>
                <c:manualLayout>
                  <c:x val="1.6827523115627144E-2"/>
                  <c:y val="-3.6540958695952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80-4D34-885A-F6CB56676DFB}"/>
                </c:ext>
              </c:extLst>
            </c:dLbl>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'2024 vs 2025 Performance'!$A$4:$A$6</c:f>
              <c:strCache>
                <c:ptCount val="2"/>
                <c:pt idx="0">
                  <c:v>2024</c:v>
                </c:pt>
                <c:pt idx="1">
                  <c:v>2025</c:v>
                </c:pt>
              </c:strCache>
            </c:strRef>
          </c:cat>
          <c:val>
            <c:numRef>
              <c:f>'2024 vs 2025 Performance'!$C$4:$C$6</c:f>
              <c:numCache>
                <c:formatCode>0.00</c:formatCode>
                <c:ptCount val="2"/>
                <c:pt idx="0">
                  <c:v>591129596</c:v>
                </c:pt>
                <c:pt idx="1">
                  <c:v>507437911</c:v>
                </c:pt>
              </c:numCache>
            </c:numRef>
          </c:val>
          <c:extLst>
            <c:ext xmlns:c16="http://schemas.microsoft.com/office/drawing/2014/chart" uri="{C3380CC4-5D6E-409C-BE32-E72D297353CC}">
              <c16:uniqueId val="{00000005-3280-4D34-885A-F6CB56676DFB}"/>
            </c:ext>
          </c:extLst>
        </c:ser>
        <c:ser>
          <c:idx val="2"/>
          <c:order val="2"/>
          <c:tx>
            <c:strRef>
              <c:f>'2024 vs 2025 Performance'!$D$3</c:f>
              <c:strCache>
                <c:ptCount val="1"/>
                <c:pt idx="0">
                  <c:v>Sum of Profit</c:v>
                </c:pt>
              </c:strCache>
            </c:strRef>
          </c:tx>
          <c:spPr>
            <a:solidFill>
              <a:srgbClr val="D9C28A"/>
            </a:solidFill>
            <a:ln>
              <a:noFill/>
            </a:ln>
            <a:effectLst/>
          </c:spPr>
          <c:invertIfNegative val="0"/>
          <c:dPt>
            <c:idx val="0"/>
            <c:invertIfNegative val="0"/>
            <c:bubble3D val="0"/>
            <c:extLst>
              <c:ext xmlns:c16="http://schemas.microsoft.com/office/drawing/2014/chart" uri="{C3380CC4-5D6E-409C-BE32-E72D297353CC}">
                <c16:uniqueId val="{00000006-3280-4D34-885A-F6CB56676DFB}"/>
              </c:ext>
            </c:extLst>
          </c:dPt>
          <c:dPt>
            <c:idx val="1"/>
            <c:invertIfNegative val="0"/>
            <c:bubble3D val="0"/>
            <c:extLst>
              <c:ext xmlns:c16="http://schemas.microsoft.com/office/drawing/2014/chart" uri="{C3380CC4-5D6E-409C-BE32-E72D297353CC}">
                <c16:uniqueId val="{00000007-3280-4D34-885A-F6CB56676DFB}"/>
              </c:ext>
            </c:extLst>
          </c:dPt>
          <c:dLbls>
            <c:dLbl>
              <c:idx val="0"/>
              <c:layout>
                <c:manualLayout>
                  <c:x val="3.1695721077654518E-2"/>
                  <c:y val="4.96894409937887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80-4D34-885A-F6CB56676DFB}"/>
                </c:ext>
              </c:extLst>
            </c:dLbl>
            <c:dLbl>
              <c:idx val="1"/>
              <c:layout>
                <c:manualLayout>
                  <c:x val="3.1695721077654518E-2"/>
                  <c:y val="4.96894409937887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80-4D34-885A-F6CB56676DFB}"/>
                </c:ext>
              </c:extLst>
            </c:dLbl>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'2024 vs 2025 Performance'!$A$4:$A$6</c:f>
              <c:strCache>
                <c:ptCount val="2"/>
                <c:pt idx="0">
                  <c:v>2024</c:v>
                </c:pt>
                <c:pt idx="1">
                  <c:v>2025</c:v>
                </c:pt>
              </c:strCache>
            </c:strRef>
          </c:cat>
          <c:val>
            <c:numRef>
              <c:f>'2024 vs 2025 Performance'!$D$4:$D$6</c:f>
              <c:numCache>
                <c:formatCode>0.00</c:formatCode>
                <c:ptCount val="2"/>
                <c:pt idx="0">
                  <c:v>511932001</c:v>
                </c:pt>
                <c:pt idx="1">
                  <c:v>581746595</c:v>
                </c:pt>
              </c:numCache>
            </c:numRef>
          </c:val>
          <c:extLst>
            <c:ext xmlns:c16="http://schemas.microsoft.com/office/drawing/2014/chart" uri="{C3380CC4-5D6E-409C-BE32-E72D297353CC}">
              <c16:uniqueId val="{00000008-3280-4D34-885A-F6CB56676DFB}"/>
            </c:ext>
          </c:extLst>
        </c:ser>
        <c:dLbls>
          <c:dLblPos val="outEnd"/>
          <c:showLegendKey val="0"/>
          <c:showVal val="1"/>
          <c:showCatName val="0"/>
          <c:showSerName val="0"/>
          <c:showPercent val="0"/>
          <c:showBubbleSize val="0"/>
        </c:dLbls>
        <c:gapWidth val="219"/>
        <c:overlap val="-27"/>
        <c:axId val="1004420095"/>
        <c:axId val="298164303"/>
      </c:barChart>
      <c:catAx>
        <c:axId val="100442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crossAx val="298164303"/>
        <c:crosses val="autoZero"/>
        <c:auto val="1"/>
        <c:lblAlgn val="ctr"/>
        <c:lblOffset val="100"/>
        <c:noMultiLvlLbl val="0"/>
      </c:catAx>
      <c:valAx>
        <c:axId val="298164303"/>
        <c:scaling>
          <c:orientation val="minMax"/>
        </c:scaling>
        <c:delete val="1"/>
        <c:axPos val="l"/>
        <c:numFmt formatCode="&quot;₦&quot;0.0,,&quot;M&quot;" sourceLinked="0"/>
        <c:majorTickMark val="none"/>
        <c:minorTickMark val="none"/>
        <c:tickLblPos val="nextTo"/>
        <c:crossAx val="1004420095"/>
        <c:crosses val="autoZero"/>
        <c:crossBetween val="between"/>
      </c:valAx>
      <c:spPr>
        <a:noFill/>
      </c:spPr>
    </c:plotArea>
    <c:legend>
      <c:legendPos val="r"/>
      <c:layout>
        <c:manualLayout>
          <c:xMode val="edge"/>
          <c:yMode val="edge"/>
          <c:x val="0.74582252425915652"/>
          <c:y val="0.16780494543445226"/>
          <c:w val="0.24172934296076062"/>
          <c:h val="0.7558520974351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legend>
    <c:plotVisOnly val="1"/>
    <c:dispBlanksAs val="gap"/>
    <c:showDLblsOverMax val="0"/>
    <c:extLst/>
  </c:chart>
  <c:spPr>
    <a:solidFill>
      <a:schemeClr val="tx1">
        <a:lumMod val="85000"/>
        <a:lumOff val="1500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165100</xdr:colOff>
      <xdr:row>5</xdr:row>
      <xdr:rowOff>95250</xdr:rowOff>
    </xdr:from>
    <xdr:to>
      <xdr:col>12</xdr:col>
      <xdr:colOff>393700</xdr:colOff>
      <xdr:row>14</xdr:row>
      <xdr:rowOff>95250</xdr:rowOff>
    </xdr:to>
    <xdr:graphicFrame macro="">
      <xdr:nvGraphicFramePr>
        <xdr:cNvPr id="2" name="Chart 1">
          <a:extLst>
            <a:ext uri="{FF2B5EF4-FFF2-40B4-BE49-F238E27FC236}">
              <a16:creationId xmlns:a16="http://schemas.microsoft.com/office/drawing/2014/main" id="{93D47A39-D23C-29FF-C1C8-0D6D330C8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1133800</xdr:colOff>
      <xdr:row>9</xdr:row>
      <xdr:rowOff>71277</xdr:rowOff>
    </xdr:from>
    <xdr:to>
      <xdr:col>3</xdr:col>
      <xdr:colOff>422600</xdr:colOff>
      <xdr:row>16</xdr:row>
      <xdr:rowOff>6481</xdr:rowOff>
    </xdr:to>
    <mc:AlternateContent xmlns:mc="http://schemas.openxmlformats.org/markup-compatibility/2006" xmlns:a14="http://schemas.microsoft.com/office/drawing/2010/main">
      <mc:Choice Requires="a14">
        <xdr:graphicFrame macro="">
          <xdr:nvGraphicFramePr>
            <xdr:cNvPr id="2" name="Product 1">
              <a:extLst>
                <a:ext uri="{FF2B5EF4-FFF2-40B4-BE49-F238E27FC236}">
                  <a16:creationId xmlns:a16="http://schemas.microsoft.com/office/drawing/2014/main" id="{474E2CC4-6B97-31B1-08E0-F39F93F7EB9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015024" y="1704134"/>
              <a:ext cx="1828800" cy="120520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730251</xdr:colOff>
      <xdr:row>3</xdr:row>
      <xdr:rowOff>66869</xdr:rowOff>
    </xdr:from>
    <xdr:to>
      <xdr:col>10</xdr:col>
      <xdr:colOff>377761</xdr:colOff>
      <xdr:row>10</xdr:row>
      <xdr:rowOff>149030</xdr:rowOff>
    </xdr:to>
    <xdr:graphicFrame macro="">
      <xdr:nvGraphicFramePr>
        <xdr:cNvPr id="5" name="Chart 4">
          <a:extLst>
            <a:ext uri="{FF2B5EF4-FFF2-40B4-BE49-F238E27FC236}">
              <a16:creationId xmlns:a16="http://schemas.microsoft.com/office/drawing/2014/main" id="{EB21006C-CE59-9AA7-22B9-B1F21C857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311150</xdr:colOff>
      <xdr:row>9</xdr:row>
      <xdr:rowOff>95250</xdr:rowOff>
    </xdr:from>
    <xdr:to>
      <xdr:col>11</xdr:col>
      <xdr:colOff>539750</xdr:colOff>
      <xdr:row>16</xdr:row>
      <xdr:rowOff>88900</xdr:rowOff>
    </xdr:to>
    <xdr:graphicFrame macro="">
      <xdr:nvGraphicFramePr>
        <xdr:cNvPr id="4" name="Chart 3">
          <a:extLst>
            <a:ext uri="{FF2B5EF4-FFF2-40B4-BE49-F238E27FC236}">
              <a16:creationId xmlns:a16="http://schemas.microsoft.com/office/drawing/2014/main" id="{D6F7F2D4-7B71-49D2-AC50-E533821DF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806450</xdr:colOff>
      <xdr:row>8</xdr:row>
      <xdr:rowOff>146050</xdr:rowOff>
    </xdr:from>
    <xdr:to>
      <xdr:col>3</xdr:col>
      <xdr:colOff>590550</xdr:colOff>
      <xdr:row>15</xdr:row>
      <xdr:rowOff>127000</xdr:rowOff>
    </xdr:to>
    <mc:AlternateContent xmlns:mc="http://schemas.openxmlformats.org/markup-compatibility/2006">
      <mc:Choice xmlns:a14="http://schemas.microsoft.com/office/drawing/2010/main" Requires="a14">
        <xdr:graphicFrame macro="">
          <xdr:nvGraphicFramePr>
            <xdr:cNvPr id="3" name="Years (Date)">
              <a:extLst>
                <a:ext uri="{FF2B5EF4-FFF2-40B4-BE49-F238E27FC236}">
                  <a16:creationId xmlns:a16="http://schemas.microsoft.com/office/drawing/2014/main" id="{B3109CC3-8C89-4349-87F9-406AF65F871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670050" y="1619250"/>
              <a:ext cx="1828800" cy="127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148744</xdr:colOff>
      <xdr:row>0</xdr:row>
      <xdr:rowOff>12700</xdr:rowOff>
    </xdr:from>
    <xdr:to>
      <xdr:col>19</xdr:col>
      <xdr:colOff>381000</xdr:colOff>
      <xdr:row>24</xdr:row>
      <xdr:rowOff>63501</xdr:rowOff>
    </xdr:to>
    <xdr:sp macro="" textlink="">
      <xdr:nvSpPr>
        <xdr:cNvPr id="16" name="Rectangle: Rounded Corners 15">
          <a:extLst>
            <a:ext uri="{FF2B5EF4-FFF2-40B4-BE49-F238E27FC236}">
              <a16:creationId xmlns:a16="http://schemas.microsoft.com/office/drawing/2014/main" id="{B11534D9-FCED-1FF1-19AE-1CB4E7DC8C03}"/>
            </a:ext>
          </a:extLst>
        </xdr:cNvPr>
        <xdr:cNvSpPr/>
      </xdr:nvSpPr>
      <xdr:spPr>
        <a:xfrm>
          <a:off x="148744" y="12700"/>
          <a:ext cx="11814656" cy="4470401"/>
        </a:xfrm>
        <a:custGeom>
          <a:avLst/>
          <a:gdLst>
            <a:gd name="csX0" fmla="*/ 0 w 11893550"/>
            <a:gd name="csY0" fmla="*/ 745082 h 4470400"/>
            <a:gd name="csX1" fmla="*/ 745082 w 11893550"/>
            <a:gd name="csY1" fmla="*/ 0 h 4470400"/>
            <a:gd name="csX2" fmla="*/ 11148468 w 11893550"/>
            <a:gd name="csY2" fmla="*/ 0 h 4470400"/>
            <a:gd name="csX3" fmla="*/ 11893550 w 11893550"/>
            <a:gd name="csY3" fmla="*/ 745082 h 4470400"/>
            <a:gd name="csX4" fmla="*/ 11893550 w 11893550"/>
            <a:gd name="csY4" fmla="*/ 3725318 h 4470400"/>
            <a:gd name="csX5" fmla="*/ 11148468 w 11893550"/>
            <a:gd name="csY5" fmla="*/ 4470400 h 4470400"/>
            <a:gd name="csX6" fmla="*/ 745082 w 11893550"/>
            <a:gd name="csY6" fmla="*/ 4470400 h 4470400"/>
            <a:gd name="csX7" fmla="*/ 0 w 11893550"/>
            <a:gd name="csY7" fmla="*/ 3725318 h 4470400"/>
            <a:gd name="csX8" fmla="*/ 0 w 11893550"/>
            <a:gd name="csY8" fmla="*/ 745082 h 4470400"/>
            <a:gd name="csX0" fmla="*/ 19050 w 11893550"/>
            <a:gd name="csY0" fmla="*/ 408532 h 4470400"/>
            <a:gd name="csX1" fmla="*/ 745082 w 11893550"/>
            <a:gd name="csY1" fmla="*/ 0 h 4470400"/>
            <a:gd name="csX2" fmla="*/ 11148468 w 11893550"/>
            <a:gd name="csY2" fmla="*/ 0 h 4470400"/>
            <a:gd name="csX3" fmla="*/ 11893550 w 11893550"/>
            <a:gd name="csY3" fmla="*/ 745082 h 4470400"/>
            <a:gd name="csX4" fmla="*/ 11893550 w 11893550"/>
            <a:gd name="csY4" fmla="*/ 3725318 h 4470400"/>
            <a:gd name="csX5" fmla="*/ 11148468 w 11893550"/>
            <a:gd name="csY5" fmla="*/ 4470400 h 4470400"/>
            <a:gd name="csX6" fmla="*/ 745082 w 11893550"/>
            <a:gd name="csY6" fmla="*/ 4470400 h 4470400"/>
            <a:gd name="csX7" fmla="*/ 0 w 11893550"/>
            <a:gd name="csY7" fmla="*/ 3725318 h 4470400"/>
            <a:gd name="csX8" fmla="*/ 19050 w 11893550"/>
            <a:gd name="csY8" fmla="*/ 408532 h 4470400"/>
            <a:gd name="csX0" fmla="*/ 19050 w 11893550"/>
            <a:gd name="csY0" fmla="*/ 414643 h 4476511"/>
            <a:gd name="csX1" fmla="*/ 745082 w 11893550"/>
            <a:gd name="csY1" fmla="*/ 6111 h 4476511"/>
            <a:gd name="csX2" fmla="*/ 11148468 w 11893550"/>
            <a:gd name="csY2" fmla="*/ 6111 h 4476511"/>
            <a:gd name="csX3" fmla="*/ 11880850 w 11893550"/>
            <a:gd name="csY3" fmla="*/ 338443 h 4476511"/>
            <a:gd name="csX4" fmla="*/ 11893550 w 11893550"/>
            <a:gd name="csY4" fmla="*/ 3731429 h 4476511"/>
            <a:gd name="csX5" fmla="*/ 11148468 w 11893550"/>
            <a:gd name="csY5" fmla="*/ 4476511 h 4476511"/>
            <a:gd name="csX6" fmla="*/ 745082 w 11893550"/>
            <a:gd name="csY6" fmla="*/ 4476511 h 4476511"/>
            <a:gd name="csX7" fmla="*/ 0 w 11893550"/>
            <a:gd name="csY7" fmla="*/ 3731429 h 4476511"/>
            <a:gd name="csX8" fmla="*/ 19050 w 11893550"/>
            <a:gd name="csY8" fmla="*/ 414643 h 4476511"/>
            <a:gd name="csX0" fmla="*/ 19050 w 11893550"/>
            <a:gd name="csY0" fmla="*/ 363843 h 4476511"/>
            <a:gd name="csX1" fmla="*/ 745082 w 11893550"/>
            <a:gd name="csY1" fmla="*/ 6111 h 4476511"/>
            <a:gd name="csX2" fmla="*/ 11148468 w 11893550"/>
            <a:gd name="csY2" fmla="*/ 6111 h 4476511"/>
            <a:gd name="csX3" fmla="*/ 11880850 w 11893550"/>
            <a:gd name="csY3" fmla="*/ 338443 h 4476511"/>
            <a:gd name="csX4" fmla="*/ 11893550 w 11893550"/>
            <a:gd name="csY4" fmla="*/ 3731429 h 4476511"/>
            <a:gd name="csX5" fmla="*/ 11148468 w 11893550"/>
            <a:gd name="csY5" fmla="*/ 4476511 h 4476511"/>
            <a:gd name="csX6" fmla="*/ 745082 w 11893550"/>
            <a:gd name="csY6" fmla="*/ 4476511 h 4476511"/>
            <a:gd name="csX7" fmla="*/ 0 w 11893550"/>
            <a:gd name="csY7" fmla="*/ 3731429 h 4476511"/>
            <a:gd name="csX8" fmla="*/ 19050 w 11893550"/>
            <a:gd name="csY8" fmla="*/ 363843 h 4476511"/>
            <a:gd name="csX0" fmla="*/ 63500 w 11893550"/>
            <a:gd name="csY0" fmla="*/ 363843 h 4476511"/>
            <a:gd name="csX1" fmla="*/ 745082 w 11893550"/>
            <a:gd name="csY1" fmla="*/ 6111 h 4476511"/>
            <a:gd name="csX2" fmla="*/ 11148468 w 11893550"/>
            <a:gd name="csY2" fmla="*/ 6111 h 4476511"/>
            <a:gd name="csX3" fmla="*/ 11880850 w 11893550"/>
            <a:gd name="csY3" fmla="*/ 338443 h 4476511"/>
            <a:gd name="csX4" fmla="*/ 11893550 w 11893550"/>
            <a:gd name="csY4" fmla="*/ 3731429 h 4476511"/>
            <a:gd name="csX5" fmla="*/ 11148468 w 11893550"/>
            <a:gd name="csY5" fmla="*/ 4476511 h 4476511"/>
            <a:gd name="csX6" fmla="*/ 745082 w 11893550"/>
            <a:gd name="csY6" fmla="*/ 4476511 h 4476511"/>
            <a:gd name="csX7" fmla="*/ 0 w 11893550"/>
            <a:gd name="csY7" fmla="*/ 3731429 h 4476511"/>
            <a:gd name="csX8" fmla="*/ 63500 w 11893550"/>
            <a:gd name="csY8" fmla="*/ 363843 h 4476511"/>
            <a:gd name="csX0" fmla="*/ 0 w 11830050"/>
            <a:gd name="csY0" fmla="*/ 363843 h 4476511"/>
            <a:gd name="csX1" fmla="*/ 681582 w 11830050"/>
            <a:gd name="csY1" fmla="*/ 6111 h 4476511"/>
            <a:gd name="csX2" fmla="*/ 11084968 w 11830050"/>
            <a:gd name="csY2" fmla="*/ 6111 h 4476511"/>
            <a:gd name="csX3" fmla="*/ 11817350 w 11830050"/>
            <a:gd name="csY3" fmla="*/ 338443 h 4476511"/>
            <a:gd name="csX4" fmla="*/ 11830050 w 11830050"/>
            <a:gd name="csY4" fmla="*/ 3731429 h 4476511"/>
            <a:gd name="csX5" fmla="*/ 11084968 w 11830050"/>
            <a:gd name="csY5" fmla="*/ 4476511 h 4476511"/>
            <a:gd name="csX6" fmla="*/ 681582 w 11830050"/>
            <a:gd name="csY6" fmla="*/ 4476511 h 4476511"/>
            <a:gd name="csX7" fmla="*/ 6350 w 11830050"/>
            <a:gd name="csY7" fmla="*/ 3731429 h 4476511"/>
            <a:gd name="csX8" fmla="*/ 0 w 11830050"/>
            <a:gd name="csY8" fmla="*/ 363843 h 4476511"/>
            <a:gd name="csX0" fmla="*/ 0 w 11817447"/>
            <a:gd name="csY0" fmla="*/ 363843 h 4476511"/>
            <a:gd name="csX1" fmla="*/ 681582 w 11817447"/>
            <a:gd name="csY1" fmla="*/ 6111 h 4476511"/>
            <a:gd name="csX2" fmla="*/ 11084968 w 11817447"/>
            <a:gd name="csY2" fmla="*/ 6111 h 4476511"/>
            <a:gd name="csX3" fmla="*/ 11817350 w 11817447"/>
            <a:gd name="csY3" fmla="*/ 338443 h 4476511"/>
            <a:gd name="csX4" fmla="*/ 11690350 w 11817447"/>
            <a:gd name="csY4" fmla="*/ 3744129 h 4476511"/>
            <a:gd name="csX5" fmla="*/ 11084968 w 11817447"/>
            <a:gd name="csY5" fmla="*/ 4476511 h 4476511"/>
            <a:gd name="csX6" fmla="*/ 681582 w 11817447"/>
            <a:gd name="csY6" fmla="*/ 4476511 h 4476511"/>
            <a:gd name="csX7" fmla="*/ 6350 w 11817447"/>
            <a:gd name="csY7" fmla="*/ 3731429 h 4476511"/>
            <a:gd name="csX8" fmla="*/ 0 w 11817447"/>
            <a:gd name="csY8" fmla="*/ 363843 h 4476511"/>
            <a:gd name="csX0" fmla="*/ 0 w 11716117"/>
            <a:gd name="csY0" fmla="*/ 363843 h 4476511"/>
            <a:gd name="csX1" fmla="*/ 681582 w 11716117"/>
            <a:gd name="csY1" fmla="*/ 6111 h 4476511"/>
            <a:gd name="csX2" fmla="*/ 11084968 w 11716117"/>
            <a:gd name="csY2" fmla="*/ 6111 h 4476511"/>
            <a:gd name="csX3" fmla="*/ 11715750 w 11716117"/>
            <a:gd name="csY3" fmla="*/ 338443 h 4476511"/>
            <a:gd name="csX4" fmla="*/ 11690350 w 11716117"/>
            <a:gd name="csY4" fmla="*/ 3744129 h 4476511"/>
            <a:gd name="csX5" fmla="*/ 11084968 w 11716117"/>
            <a:gd name="csY5" fmla="*/ 4476511 h 4476511"/>
            <a:gd name="csX6" fmla="*/ 681582 w 11716117"/>
            <a:gd name="csY6" fmla="*/ 4476511 h 4476511"/>
            <a:gd name="csX7" fmla="*/ 6350 w 11716117"/>
            <a:gd name="csY7" fmla="*/ 3731429 h 4476511"/>
            <a:gd name="csX8" fmla="*/ 0 w 11716117"/>
            <a:gd name="csY8" fmla="*/ 363843 h 4476511"/>
            <a:gd name="csX0" fmla="*/ 0 w 11817447"/>
            <a:gd name="csY0" fmla="*/ 360040 h 4472708"/>
            <a:gd name="csX1" fmla="*/ 681582 w 11817447"/>
            <a:gd name="csY1" fmla="*/ 2308 h 4472708"/>
            <a:gd name="csX2" fmla="*/ 11084968 w 11817447"/>
            <a:gd name="csY2" fmla="*/ 2308 h 4472708"/>
            <a:gd name="csX3" fmla="*/ 11817350 w 11817447"/>
            <a:gd name="csY3" fmla="*/ 366390 h 4472708"/>
            <a:gd name="csX4" fmla="*/ 11690350 w 11817447"/>
            <a:gd name="csY4" fmla="*/ 3740326 h 4472708"/>
            <a:gd name="csX5" fmla="*/ 11084968 w 11817447"/>
            <a:gd name="csY5" fmla="*/ 4472708 h 4472708"/>
            <a:gd name="csX6" fmla="*/ 681582 w 11817447"/>
            <a:gd name="csY6" fmla="*/ 4472708 h 4472708"/>
            <a:gd name="csX7" fmla="*/ 6350 w 11817447"/>
            <a:gd name="csY7" fmla="*/ 3727626 h 4472708"/>
            <a:gd name="csX8" fmla="*/ 0 w 11817447"/>
            <a:gd name="csY8" fmla="*/ 360040 h 4472708"/>
            <a:gd name="csX0" fmla="*/ 0 w 11817912"/>
            <a:gd name="csY0" fmla="*/ 360040 h 4472708"/>
            <a:gd name="csX1" fmla="*/ 681582 w 11817912"/>
            <a:gd name="csY1" fmla="*/ 2308 h 4472708"/>
            <a:gd name="csX2" fmla="*/ 11084968 w 11817912"/>
            <a:gd name="csY2" fmla="*/ 2308 h 4472708"/>
            <a:gd name="csX3" fmla="*/ 11817350 w 11817912"/>
            <a:gd name="csY3" fmla="*/ 366390 h 4472708"/>
            <a:gd name="csX4" fmla="*/ 11804650 w 11817912"/>
            <a:gd name="csY4" fmla="*/ 3708576 h 4472708"/>
            <a:gd name="csX5" fmla="*/ 11084968 w 11817912"/>
            <a:gd name="csY5" fmla="*/ 4472708 h 4472708"/>
            <a:gd name="csX6" fmla="*/ 681582 w 11817912"/>
            <a:gd name="csY6" fmla="*/ 4472708 h 4472708"/>
            <a:gd name="csX7" fmla="*/ 6350 w 11817912"/>
            <a:gd name="csY7" fmla="*/ 3727626 h 4472708"/>
            <a:gd name="csX8" fmla="*/ 0 w 11817912"/>
            <a:gd name="csY8" fmla="*/ 360040 h 4472708"/>
            <a:gd name="csX0" fmla="*/ 0 w 11817912"/>
            <a:gd name="csY0" fmla="*/ 360040 h 4517158"/>
            <a:gd name="csX1" fmla="*/ 681582 w 11817912"/>
            <a:gd name="csY1" fmla="*/ 2308 h 4517158"/>
            <a:gd name="csX2" fmla="*/ 11084968 w 11817912"/>
            <a:gd name="csY2" fmla="*/ 2308 h 4517158"/>
            <a:gd name="csX3" fmla="*/ 11817350 w 11817912"/>
            <a:gd name="csY3" fmla="*/ 366390 h 4517158"/>
            <a:gd name="csX4" fmla="*/ 11804650 w 11817912"/>
            <a:gd name="csY4" fmla="*/ 3708576 h 4517158"/>
            <a:gd name="csX5" fmla="*/ 11084968 w 11817912"/>
            <a:gd name="csY5" fmla="*/ 4472708 h 4517158"/>
            <a:gd name="csX6" fmla="*/ 554582 w 11817912"/>
            <a:gd name="csY6" fmla="*/ 4517158 h 4517158"/>
            <a:gd name="csX7" fmla="*/ 6350 w 11817912"/>
            <a:gd name="csY7" fmla="*/ 3727626 h 4517158"/>
            <a:gd name="csX8" fmla="*/ 0 w 11817912"/>
            <a:gd name="csY8" fmla="*/ 360040 h 4517158"/>
            <a:gd name="csX0" fmla="*/ 0 w 11817912"/>
            <a:gd name="csY0" fmla="*/ 360040 h 4517158"/>
            <a:gd name="csX1" fmla="*/ 681582 w 11817912"/>
            <a:gd name="csY1" fmla="*/ 2308 h 4517158"/>
            <a:gd name="csX2" fmla="*/ 11084968 w 11817912"/>
            <a:gd name="csY2" fmla="*/ 2308 h 4517158"/>
            <a:gd name="csX3" fmla="*/ 11817350 w 11817912"/>
            <a:gd name="csY3" fmla="*/ 366390 h 4517158"/>
            <a:gd name="csX4" fmla="*/ 11804650 w 11817912"/>
            <a:gd name="csY4" fmla="*/ 3708576 h 4517158"/>
            <a:gd name="csX5" fmla="*/ 11294518 w 11817912"/>
            <a:gd name="csY5" fmla="*/ 4460008 h 4517158"/>
            <a:gd name="csX6" fmla="*/ 554582 w 11817912"/>
            <a:gd name="csY6" fmla="*/ 4517158 h 4517158"/>
            <a:gd name="csX7" fmla="*/ 6350 w 11817912"/>
            <a:gd name="csY7" fmla="*/ 3727626 h 4517158"/>
            <a:gd name="csX8" fmla="*/ 0 w 11817912"/>
            <a:gd name="csY8" fmla="*/ 360040 h 4517158"/>
            <a:gd name="csX0" fmla="*/ 0 w 11817912"/>
            <a:gd name="csY0" fmla="*/ 360040 h 4517158"/>
            <a:gd name="csX1" fmla="*/ 681582 w 11817912"/>
            <a:gd name="csY1" fmla="*/ 2308 h 4517158"/>
            <a:gd name="csX2" fmla="*/ 11084968 w 11817912"/>
            <a:gd name="csY2" fmla="*/ 2308 h 4517158"/>
            <a:gd name="csX3" fmla="*/ 11817350 w 11817912"/>
            <a:gd name="csY3" fmla="*/ 366390 h 4517158"/>
            <a:gd name="csX4" fmla="*/ 11804650 w 11817912"/>
            <a:gd name="csY4" fmla="*/ 3708576 h 4517158"/>
            <a:gd name="csX5" fmla="*/ 11465968 w 11817912"/>
            <a:gd name="csY5" fmla="*/ 4434608 h 4517158"/>
            <a:gd name="csX6" fmla="*/ 554582 w 11817912"/>
            <a:gd name="csY6" fmla="*/ 4517158 h 4517158"/>
            <a:gd name="csX7" fmla="*/ 6350 w 11817912"/>
            <a:gd name="csY7" fmla="*/ 3727626 h 4517158"/>
            <a:gd name="csX8" fmla="*/ 0 w 11817912"/>
            <a:gd name="csY8" fmla="*/ 360040 h 4517158"/>
            <a:gd name="csX0" fmla="*/ 0 w 11817912"/>
            <a:gd name="csY0" fmla="*/ 360040 h 4517158"/>
            <a:gd name="csX1" fmla="*/ 681582 w 11817912"/>
            <a:gd name="csY1" fmla="*/ 2308 h 4517158"/>
            <a:gd name="csX2" fmla="*/ 11084968 w 11817912"/>
            <a:gd name="csY2" fmla="*/ 2308 h 4517158"/>
            <a:gd name="csX3" fmla="*/ 11817350 w 11817912"/>
            <a:gd name="csY3" fmla="*/ 366390 h 4517158"/>
            <a:gd name="csX4" fmla="*/ 11804650 w 11817912"/>
            <a:gd name="csY4" fmla="*/ 3708576 h 4517158"/>
            <a:gd name="csX5" fmla="*/ 11383418 w 11817912"/>
            <a:gd name="csY5" fmla="*/ 4434608 h 4517158"/>
            <a:gd name="csX6" fmla="*/ 554582 w 11817912"/>
            <a:gd name="csY6" fmla="*/ 4517158 h 4517158"/>
            <a:gd name="csX7" fmla="*/ 6350 w 11817912"/>
            <a:gd name="csY7" fmla="*/ 3727626 h 4517158"/>
            <a:gd name="csX8" fmla="*/ 0 w 11817912"/>
            <a:gd name="csY8" fmla="*/ 360040 h 4517158"/>
            <a:gd name="csX0" fmla="*/ 0 w 11817912"/>
            <a:gd name="csY0" fmla="*/ 360040 h 4517158"/>
            <a:gd name="csX1" fmla="*/ 681582 w 11817912"/>
            <a:gd name="csY1" fmla="*/ 2308 h 4517158"/>
            <a:gd name="csX2" fmla="*/ 11084968 w 11817912"/>
            <a:gd name="csY2" fmla="*/ 2308 h 4517158"/>
            <a:gd name="csX3" fmla="*/ 11817350 w 11817912"/>
            <a:gd name="csY3" fmla="*/ 366390 h 4517158"/>
            <a:gd name="csX4" fmla="*/ 11804650 w 11817912"/>
            <a:gd name="csY4" fmla="*/ 3708576 h 4517158"/>
            <a:gd name="csX5" fmla="*/ 11383418 w 11817912"/>
            <a:gd name="csY5" fmla="*/ 4434608 h 4517158"/>
            <a:gd name="csX6" fmla="*/ 408532 w 11817912"/>
            <a:gd name="csY6" fmla="*/ 4517158 h 4517158"/>
            <a:gd name="csX7" fmla="*/ 6350 w 11817912"/>
            <a:gd name="csY7" fmla="*/ 3727626 h 4517158"/>
            <a:gd name="csX8" fmla="*/ 0 w 11817912"/>
            <a:gd name="csY8" fmla="*/ 360040 h 4517158"/>
            <a:gd name="csX0" fmla="*/ 0 w 11817912"/>
            <a:gd name="csY0" fmla="*/ 360040 h 4479305"/>
            <a:gd name="csX1" fmla="*/ 681582 w 11817912"/>
            <a:gd name="csY1" fmla="*/ 2308 h 4479305"/>
            <a:gd name="csX2" fmla="*/ 11084968 w 11817912"/>
            <a:gd name="csY2" fmla="*/ 2308 h 4479305"/>
            <a:gd name="csX3" fmla="*/ 11817350 w 11817912"/>
            <a:gd name="csY3" fmla="*/ 366390 h 4479305"/>
            <a:gd name="csX4" fmla="*/ 11804650 w 11817912"/>
            <a:gd name="csY4" fmla="*/ 3708576 h 4479305"/>
            <a:gd name="csX5" fmla="*/ 11383418 w 11817912"/>
            <a:gd name="csY5" fmla="*/ 4434608 h 4479305"/>
            <a:gd name="csX6" fmla="*/ 414855 w 11817912"/>
            <a:gd name="csY6" fmla="*/ 4479305 h 4479305"/>
            <a:gd name="csX7" fmla="*/ 6350 w 11817912"/>
            <a:gd name="csY7" fmla="*/ 3727626 h 4479305"/>
            <a:gd name="csX8" fmla="*/ 0 w 11817912"/>
            <a:gd name="csY8" fmla="*/ 360040 h 4479305"/>
            <a:gd name="csX0" fmla="*/ 0 w 11817912"/>
            <a:gd name="csY0" fmla="*/ 360040 h 4479305"/>
            <a:gd name="csX1" fmla="*/ 681582 w 11817912"/>
            <a:gd name="csY1" fmla="*/ 2308 h 4479305"/>
            <a:gd name="csX2" fmla="*/ 11084968 w 11817912"/>
            <a:gd name="csY2" fmla="*/ 2308 h 4479305"/>
            <a:gd name="csX3" fmla="*/ 11817350 w 11817912"/>
            <a:gd name="csY3" fmla="*/ 366390 h 4479305"/>
            <a:gd name="csX4" fmla="*/ 11804650 w 11817912"/>
            <a:gd name="csY4" fmla="*/ 3708576 h 4479305"/>
            <a:gd name="csX5" fmla="*/ 11383418 w 11817912"/>
            <a:gd name="csY5" fmla="*/ 4434608 h 4479305"/>
            <a:gd name="csX6" fmla="*/ 414855 w 11817912"/>
            <a:gd name="csY6" fmla="*/ 4479305 h 4479305"/>
            <a:gd name="csX7" fmla="*/ 56935 w 11817912"/>
            <a:gd name="csY7" fmla="*/ 3727626 h 4479305"/>
            <a:gd name="csX8" fmla="*/ 0 w 11817912"/>
            <a:gd name="csY8" fmla="*/ 360040 h 4479305"/>
            <a:gd name="csX0" fmla="*/ 0 w 11817912"/>
            <a:gd name="csY0" fmla="*/ 360040 h 4434608"/>
            <a:gd name="csX1" fmla="*/ 681582 w 11817912"/>
            <a:gd name="csY1" fmla="*/ 2308 h 4434608"/>
            <a:gd name="csX2" fmla="*/ 11084968 w 11817912"/>
            <a:gd name="csY2" fmla="*/ 2308 h 4434608"/>
            <a:gd name="csX3" fmla="*/ 11817350 w 11817912"/>
            <a:gd name="csY3" fmla="*/ 366390 h 4434608"/>
            <a:gd name="csX4" fmla="*/ 11804650 w 11817912"/>
            <a:gd name="csY4" fmla="*/ 3708576 h 4434608"/>
            <a:gd name="csX5" fmla="*/ 11383418 w 11817912"/>
            <a:gd name="csY5" fmla="*/ 4434608 h 4434608"/>
            <a:gd name="csX6" fmla="*/ 440148 w 11817912"/>
            <a:gd name="csY6" fmla="*/ 4397290 h 4434608"/>
            <a:gd name="csX7" fmla="*/ 56935 w 11817912"/>
            <a:gd name="csY7" fmla="*/ 3727626 h 4434608"/>
            <a:gd name="csX8" fmla="*/ 0 w 11817912"/>
            <a:gd name="csY8" fmla="*/ 360040 h 4434608"/>
            <a:gd name="csX0" fmla="*/ 0 w 11817912"/>
            <a:gd name="csY0" fmla="*/ 360040 h 4441452"/>
            <a:gd name="csX1" fmla="*/ 681582 w 11817912"/>
            <a:gd name="csY1" fmla="*/ 2308 h 4441452"/>
            <a:gd name="csX2" fmla="*/ 11084968 w 11817912"/>
            <a:gd name="csY2" fmla="*/ 2308 h 4441452"/>
            <a:gd name="csX3" fmla="*/ 11817350 w 11817912"/>
            <a:gd name="csY3" fmla="*/ 366390 h 4441452"/>
            <a:gd name="csX4" fmla="*/ 11804650 w 11817912"/>
            <a:gd name="csY4" fmla="*/ 3708576 h 4441452"/>
            <a:gd name="csX5" fmla="*/ 11383418 w 11817912"/>
            <a:gd name="csY5" fmla="*/ 4434608 h 4441452"/>
            <a:gd name="csX6" fmla="*/ 421179 w 11817912"/>
            <a:gd name="csY6" fmla="*/ 4441452 h 4441452"/>
            <a:gd name="csX7" fmla="*/ 56935 w 11817912"/>
            <a:gd name="csY7" fmla="*/ 3727626 h 4441452"/>
            <a:gd name="csX8" fmla="*/ 0 w 11817912"/>
            <a:gd name="csY8" fmla="*/ 360040 h 4441452"/>
            <a:gd name="csX0" fmla="*/ 0 w 11817912"/>
            <a:gd name="csY0" fmla="*/ 360040 h 4441452"/>
            <a:gd name="csX1" fmla="*/ 681582 w 11817912"/>
            <a:gd name="csY1" fmla="*/ 2308 h 4441452"/>
            <a:gd name="csX2" fmla="*/ 11084968 w 11817912"/>
            <a:gd name="csY2" fmla="*/ 2308 h 4441452"/>
            <a:gd name="csX3" fmla="*/ 11817350 w 11817912"/>
            <a:gd name="csY3" fmla="*/ 366390 h 4441452"/>
            <a:gd name="csX4" fmla="*/ 11804650 w 11817912"/>
            <a:gd name="csY4" fmla="*/ 3708576 h 4441452"/>
            <a:gd name="csX5" fmla="*/ 11383418 w 11817912"/>
            <a:gd name="csY5" fmla="*/ 4434608 h 4441452"/>
            <a:gd name="csX6" fmla="*/ 421179 w 11817912"/>
            <a:gd name="csY6" fmla="*/ 4441452 h 4441452"/>
            <a:gd name="csX7" fmla="*/ 56935 w 11817912"/>
            <a:gd name="csY7" fmla="*/ 3727626 h 4441452"/>
            <a:gd name="csX8" fmla="*/ 0 w 11817912"/>
            <a:gd name="csY8" fmla="*/ 360040 h 4441452"/>
            <a:gd name="csX0" fmla="*/ 0 w 11817912"/>
            <a:gd name="csY0" fmla="*/ 360040 h 4441452"/>
            <a:gd name="csX1" fmla="*/ 681582 w 11817912"/>
            <a:gd name="csY1" fmla="*/ 2308 h 4441452"/>
            <a:gd name="csX2" fmla="*/ 11084968 w 11817912"/>
            <a:gd name="csY2" fmla="*/ 2308 h 4441452"/>
            <a:gd name="csX3" fmla="*/ 11817350 w 11817912"/>
            <a:gd name="csY3" fmla="*/ 366390 h 4441452"/>
            <a:gd name="csX4" fmla="*/ 11804650 w 11817912"/>
            <a:gd name="csY4" fmla="*/ 3708576 h 4441452"/>
            <a:gd name="csX5" fmla="*/ 11383418 w 11817912"/>
            <a:gd name="csY5" fmla="*/ 4434608 h 4441452"/>
            <a:gd name="csX6" fmla="*/ 421179 w 11817912"/>
            <a:gd name="csY6" fmla="*/ 4441452 h 4441452"/>
            <a:gd name="csX7" fmla="*/ 56935 w 11817912"/>
            <a:gd name="csY7" fmla="*/ 3727626 h 4441452"/>
            <a:gd name="csX8" fmla="*/ 0 w 11817912"/>
            <a:gd name="csY8" fmla="*/ 360040 h 4441452"/>
            <a:gd name="csX0" fmla="*/ 0 w 11817912"/>
            <a:gd name="csY0" fmla="*/ 360040 h 4441452"/>
            <a:gd name="csX1" fmla="*/ 681582 w 11817912"/>
            <a:gd name="csY1" fmla="*/ 2308 h 4441452"/>
            <a:gd name="csX2" fmla="*/ 11084968 w 11817912"/>
            <a:gd name="csY2" fmla="*/ 2308 h 4441452"/>
            <a:gd name="csX3" fmla="*/ 11817350 w 11817912"/>
            <a:gd name="csY3" fmla="*/ 366390 h 4441452"/>
            <a:gd name="csX4" fmla="*/ 11804650 w 11817912"/>
            <a:gd name="csY4" fmla="*/ 3708576 h 4441452"/>
            <a:gd name="csX5" fmla="*/ 11383418 w 11817912"/>
            <a:gd name="csY5" fmla="*/ 4434608 h 4441452"/>
            <a:gd name="csX6" fmla="*/ 421179 w 11817912"/>
            <a:gd name="csY6" fmla="*/ 4441452 h 4441452"/>
            <a:gd name="csX7" fmla="*/ 56935 w 11817912"/>
            <a:gd name="csY7" fmla="*/ 3727626 h 4441452"/>
            <a:gd name="csX8" fmla="*/ 0 w 11817912"/>
            <a:gd name="csY8" fmla="*/ 360040 h 4441452"/>
            <a:gd name="csX0" fmla="*/ 0 w 11817912"/>
            <a:gd name="csY0" fmla="*/ 360040 h 4441452"/>
            <a:gd name="csX1" fmla="*/ 681582 w 11817912"/>
            <a:gd name="csY1" fmla="*/ 2308 h 4441452"/>
            <a:gd name="csX2" fmla="*/ 11084968 w 11817912"/>
            <a:gd name="csY2" fmla="*/ 2308 h 4441452"/>
            <a:gd name="csX3" fmla="*/ 11817350 w 11817912"/>
            <a:gd name="csY3" fmla="*/ 366390 h 4441452"/>
            <a:gd name="csX4" fmla="*/ 11804650 w 11817912"/>
            <a:gd name="csY4" fmla="*/ 3708576 h 4441452"/>
            <a:gd name="csX5" fmla="*/ 11383418 w 11817912"/>
            <a:gd name="csY5" fmla="*/ 4434608 h 4441452"/>
            <a:gd name="csX6" fmla="*/ 421179 w 11817912"/>
            <a:gd name="csY6" fmla="*/ 4441452 h 4441452"/>
            <a:gd name="csX7" fmla="*/ 56935 w 11817912"/>
            <a:gd name="csY7" fmla="*/ 3727626 h 4441452"/>
            <a:gd name="csX8" fmla="*/ 0 w 11817912"/>
            <a:gd name="csY8" fmla="*/ 360040 h 4441452"/>
            <a:gd name="csX0" fmla="*/ 22609 w 11764644"/>
            <a:gd name="csY0" fmla="*/ 360040 h 4441452"/>
            <a:gd name="csX1" fmla="*/ 628314 w 11764644"/>
            <a:gd name="csY1" fmla="*/ 2308 h 4441452"/>
            <a:gd name="csX2" fmla="*/ 11031700 w 11764644"/>
            <a:gd name="csY2" fmla="*/ 2308 h 4441452"/>
            <a:gd name="csX3" fmla="*/ 11764082 w 11764644"/>
            <a:gd name="csY3" fmla="*/ 366390 h 4441452"/>
            <a:gd name="csX4" fmla="*/ 11751382 w 11764644"/>
            <a:gd name="csY4" fmla="*/ 3708576 h 4441452"/>
            <a:gd name="csX5" fmla="*/ 11330150 w 11764644"/>
            <a:gd name="csY5" fmla="*/ 4434608 h 4441452"/>
            <a:gd name="csX6" fmla="*/ 367911 w 11764644"/>
            <a:gd name="csY6" fmla="*/ 4441452 h 4441452"/>
            <a:gd name="csX7" fmla="*/ 3667 w 11764644"/>
            <a:gd name="csY7" fmla="*/ 3727626 h 4441452"/>
            <a:gd name="csX8" fmla="*/ 22609 w 11764644"/>
            <a:gd name="csY8" fmla="*/ 360040 h 444145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764644" h="4441452">
              <a:moveTo>
                <a:pt x="22609" y="360040"/>
              </a:moveTo>
              <a:cubicBezTo>
                <a:pt x="22609" y="-51457"/>
                <a:pt x="216817" y="2308"/>
                <a:pt x="628314" y="2308"/>
              </a:cubicBezTo>
              <a:lnTo>
                <a:pt x="11031700" y="2308"/>
              </a:lnTo>
              <a:cubicBezTo>
                <a:pt x="11443197" y="2308"/>
                <a:pt x="11764082" y="-45107"/>
                <a:pt x="11764082" y="366390"/>
              </a:cubicBezTo>
              <a:cubicBezTo>
                <a:pt x="11768315" y="1497385"/>
                <a:pt x="11747149" y="2577581"/>
                <a:pt x="11751382" y="3708576"/>
              </a:cubicBezTo>
              <a:cubicBezTo>
                <a:pt x="11751382" y="4120073"/>
                <a:pt x="11741647" y="4434608"/>
                <a:pt x="11330150" y="4434608"/>
              </a:cubicBezTo>
              <a:lnTo>
                <a:pt x="367911" y="4441452"/>
              </a:lnTo>
              <a:cubicBezTo>
                <a:pt x="-62556" y="4403600"/>
                <a:pt x="3667" y="4139123"/>
                <a:pt x="3667" y="3727626"/>
              </a:cubicBezTo>
              <a:cubicBezTo>
                <a:pt x="3667" y="2734214"/>
                <a:pt x="22609" y="1353452"/>
                <a:pt x="22609" y="360040"/>
              </a:cubicBezTo>
              <a:close/>
            </a:path>
          </a:pathLst>
        </a:custGeom>
        <a:noFill/>
        <a:ln>
          <a:solidFill>
            <a:srgbClr val="3A3226"/>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498094</xdr:colOff>
      <xdr:row>0</xdr:row>
      <xdr:rowOff>91440</xdr:rowOff>
    </xdr:from>
    <xdr:to>
      <xdr:col>4</xdr:col>
      <xdr:colOff>254254</xdr:colOff>
      <xdr:row>2</xdr:row>
      <xdr:rowOff>88900</xdr:rowOff>
    </xdr:to>
    <xdr:sp macro="" textlink="">
      <xdr:nvSpPr>
        <xdr:cNvPr id="3" name="Text 3">
          <a:extLst>
            <a:ext uri="{FF2B5EF4-FFF2-40B4-BE49-F238E27FC236}">
              <a16:creationId xmlns:a16="http://schemas.microsoft.com/office/drawing/2014/main" id="{48DD5477-9CA7-7055-15F0-3748CA8938E9}"/>
            </a:ext>
          </a:extLst>
        </xdr:cNvPr>
        <xdr:cNvSpPr/>
      </xdr:nvSpPr>
      <xdr:spPr>
        <a:xfrm>
          <a:off x="498094" y="91440"/>
          <a:ext cx="2194560" cy="365760"/>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r>
            <a:rPr lang="en-US" sz="1300" b="1" kern="0" spc="100">
              <a:solidFill>
                <a:srgbClr val="E4C878"/>
              </a:solidFill>
              <a:latin typeface="Georgia" pitchFamily="34" charset="0"/>
              <a:ea typeface="Georgia" pitchFamily="34" charset="-122"/>
              <a:cs typeface="Georgia" pitchFamily="34" charset="-120"/>
            </a:rPr>
            <a:t>PMO'S APPAREL</a:t>
          </a:r>
          <a:endParaRPr lang="en-US" sz="1300"/>
        </a:p>
      </xdr:txBody>
    </xdr:sp>
    <xdr:clientData/>
  </xdr:twoCellAnchor>
  <xdr:twoCellAnchor>
    <xdr:from>
      <xdr:col>4</xdr:col>
      <xdr:colOff>268224</xdr:colOff>
      <xdr:row>0</xdr:row>
      <xdr:rowOff>0</xdr:rowOff>
    </xdr:from>
    <xdr:to>
      <xdr:col>15</xdr:col>
      <xdr:colOff>420624</xdr:colOff>
      <xdr:row>1</xdr:row>
      <xdr:rowOff>181610</xdr:rowOff>
    </xdr:to>
    <xdr:sp macro="" textlink="">
      <xdr:nvSpPr>
        <xdr:cNvPr id="4" name="Text 4">
          <a:extLst>
            <a:ext uri="{FF2B5EF4-FFF2-40B4-BE49-F238E27FC236}">
              <a16:creationId xmlns:a16="http://schemas.microsoft.com/office/drawing/2014/main" id="{F634F447-4A41-B4CC-C67E-0593163CF287}"/>
            </a:ext>
          </a:extLst>
        </xdr:cNvPr>
        <xdr:cNvSpPr/>
      </xdr:nvSpPr>
      <xdr:spPr>
        <a:xfrm>
          <a:off x="2706624" y="0"/>
          <a:ext cx="6858000" cy="365760"/>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r>
            <a:rPr lang="en-US" sz="1900" b="1">
              <a:solidFill>
                <a:srgbClr val="F5F5F5"/>
              </a:solidFill>
              <a:latin typeface="Calibri" pitchFamily="34" charset="0"/>
              <a:ea typeface="Calibri" pitchFamily="34" charset="-122"/>
              <a:cs typeface="Calibri" pitchFamily="34" charset="-120"/>
            </a:rPr>
            <a:t>FINANCIAL PERFORMANCE DASHBOARD</a:t>
          </a:r>
          <a:endParaRPr lang="en-US" sz="1900"/>
        </a:p>
      </xdr:txBody>
    </xdr:sp>
    <xdr:clientData/>
  </xdr:twoCellAnchor>
  <xdr:twoCellAnchor>
    <xdr:from>
      <xdr:col>4</xdr:col>
      <xdr:colOff>268224</xdr:colOff>
      <xdr:row>1</xdr:row>
      <xdr:rowOff>163322</xdr:rowOff>
    </xdr:from>
    <xdr:to>
      <xdr:col>15</xdr:col>
      <xdr:colOff>420624</xdr:colOff>
      <xdr:row>3</xdr:row>
      <xdr:rowOff>32766</xdr:rowOff>
    </xdr:to>
    <xdr:sp macro="" textlink="">
      <xdr:nvSpPr>
        <xdr:cNvPr id="5" name="Text 5">
          <a:extLst>
            <a:ext uri="{FF2B5EF4-FFF2-40B4-BE49-F238E27FC236}">
              <a16:creationId xmlns:a16="http://schemas.microsoft.com/office/drawing/2014/main" id="{C7FFBFF5-FEC3-4F23-D00A-83C7B9D618CA}"/>
            </a:ext>
          </a:extLst>
        </xdr:cNvPr>
        <xdr:cNvSpPr/>
      </xdr:nvSpPr>
      <xdr:spPr>
        <a:xfrm>
          <a:off x="2706624" y="347472"/>
          <a:ext cx="6858000" cy="237744"/>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r>
            <a:rPr lang="en-US" sz="1100" i="1">
              <a:solidFill>
                <a:srgbClr val="A8A8A8"/>
              </a:solidFill>
              <a:latin typeface="Calibri" pitchFamily="34" charset="0"/>
              <a:ea typeface="Calibri" pitchFamily="34" charset="-122"/>
              <a:cs typeface="Calibri" pitchFamily="34" charset="-120"/>
            </a:rPr>
            <a:t>Revenue, Expenses &amp; Profit — Zenlytics</a:t>
          </a:r>
          <a:endParaRPr lang="en-US" sz="1100"/>
        </a:p>
      </xdr:txBody>
    </xdr:sp>
    <xdr:clientData/>
  </xdr:twoCellAnchor>
  <xdr:twoCellAnchor>
    <xdr:from>
      <xdr:col>0</xdr:col>
      <xdr:colOff>412750</xdr:colOff>
      <xdr:row>0</xdr:row>
      <xdr:rowOff>109728</xdr:rowOff>
    </xdr:from>
    <xdr:to>
      <xdr:col>1</xdr:col>
      <xdr:colOff>132334</xdr:colOff>
      <xdr:row>2</xdr:row>
      <xdr:rowOff>70612</xdr:rowOff>
    </xdr:to>
    <xdr:grpSp>
      <xdr:nvGrpSpPr>
        <xdr:cNvPr id="27" name="Group 26">
          <a:extLst>
            <a:ext uri="{FF2B5EF4-FFF2-40B4-BE49-F238E27FC236}">
              <a16:creationId xmlns:a16="http://schemas.microsoft.com/office/drawing/2014/main" id="{C7401228-DEF3-AAA1-FCA6-933CC4484BCD}"/>
            </a:ext>
          </a:extLst>
        </xdr:cNvPr>
        <xdr:cNvGrpSpPr/>
      </xdr:nvGrpSpPr>
      <xdr:grpSpPr>
        <a:xfrm>
          <a:off x="412750" y="109728"/>
          <a:ext cx="329184" cy="329184"/>
          <a:chOff x="95250" y="109728"/>
          <a:chExt cx="329184" cy="329184"/>
        </a:xfrm>
      </xdr:grpSpPr>
      <xdr:sp macro="" textlink="">
        <xdr:nvSpPr>
          <xdr:cNvPr id="2" name="Shape 0">
            <a:extLst>
              <a:ext uri="{FF2B5EF4-FFF2-40B4-BE49-F238E27FC236}">
                <a16:creationId xmlns:a16="http://schemas.microsoft.com/office/drawing/2014/main" id="{16D2A0B8-9F53-9261-C8D4-E027E89FB63E}"/>
              </a:ext>
            </a:extLst>
          </xdr:cNvPr>
          <xdr:cNvSpPr/>
        </xdr:nvSpPr>
        <xdr:spPr>
          <a:xfrm>
            <a:off x="95250" y="109728"/>
            <a:ext cx="329184" cy="329184"/>
          </a:xfrm>
          <a:prstGeom prst="ellipse">
            <a:avLst/>
          </a:prstGeom>
          <a:ln w="12700">
            <a:solidFill>
              <a:srgbClr val="C9A24B"/>
            </a:solidFill>
            <a:prstDash val="solid"/>
          </a:ln>
        </xdr:spPr>
        <xdr:txBody>
          <a:bodyPr wrap="square"/>
          <a:lstStyle/>
          <a:p>
            <a:endParaRPr lang="en-NG"/>
          </a:p>
        </xdr:txBody>
      </xdr:sp>
      <xdr:sp macro="" textlink="">
        <xdr:nvSpPr>
          <xdr:cNvPr id="15" name="Shape 2">
            <a:extLst>
              <a:ext uri="{FF2B5EF4-FFF2-40B4-BE49-F238E27FC236}">
                <a16:creationId xmlns:a16="http://schemas.microsoft.com/office/drawing/2014/main" id="{312CA295-6EA1-218F-A568-057EA94AFFDE}"/>
              </a:ext>
            </a:extLst>
          </xdr:cNvPr>
          <xdr:cNvSpPr/>
        </xdr:nvSpPr>
        <xdr:spPr>
          <a:xfrm>
            <a:off x="101600" y="184150"/>
            <a:ext cx="312725" cy="181051"/>
          </a:xfrm>
          <a:prstGeom prst="diamond">
            <a:avLst/>
          </a:prstGeom>
          <a:solidFill>
            <a:srgbClr val="C9A24B"/>
          </a:solidFill>
          <a:ln/>
        </xdr:spPr>
        <xdr:txBody>
          <a:bodyPr wrap="square"/>
          <a:lstStyle/>
          <a:p>
            <a:endParaRPr lang="en-NG"/>
          </a:p>
        </xdr:txBody>
      </xdr:sp>
    </xdr:grpSp>
    <xdr:clientData/>
  </xdr:twoCellAnchor>
  <xdr:twoCellAnchor>
    <xdr:from>
      <xdr:col>0</xdr:col>
      <xdr:colOff>284858</xdr:colOff>
      <xdr:row>3</xdr:row>
      <xdr:rowOff>172193</xdr:rowOff>
    </xdr:from>
    <xdr:to>
      <xdr:col>3</xdr:col>
      <xdr:colOff>577176</xdr:colOff>
      <xdr:row>5</xdr:row>
      <xdr:rowOff>33120</xdr:rowOff>
    </xdr:to>
    <xdr:sp macro="" textlink="">
      <xdr:nvSpPr>
        <xdr:cNvPr id="6" name="Shape 6">
          <a:extLst>
            <a:ext uri="{FF2B5EF4-FFF2-40B4-BE49-F238E27FC236}">
              <a16:creationId xmlns:a16="http://schemas.microsoft.com/office/drawing/2014/main" id="{A6593BFA-51D7-462C-DBA1-82A3ED1034CF}"/>
            </a:ext>
          </a:extLst>
        </xdr:cNvPr>
        <xdr:cNvSpPr/>
      </xdr:nvSpPr>
      <xdr:spPr>
        <a:xfrm>
          <a:off x="284858" y="724643"/>
          <a:ext cx="2121118" cy="229227"/>
        </a:xfrm>
        <a:prstGeom prst="rect">
          <a:avLst/>
        </a:prstGeom>
        <a:solidFill>
          <a:srgbClr val="C9A24B"/>
        </a:solidFill>
        <a:ln/>
      </xdr:spPr>
      <xdr:txBody>
        <a:bodyPr wrap="square"/>
        <a:lstStyle/>
        <a:p>
          <a:endParaRPr lang="en-NG"/>
        </a:p>
      </xdr:txBody>
    </xdr:sp>
    <xdr:clientData/>
  </xdr:twoCellAnchor>
  <xdr:twoCellAnchor>
    <xdr:from>
      <xdr:col>0</xdr:col>
      <xdr:colOff>273050</xdr:colOff>
      <xdr:row>3</xdr:row>
      <xdr:rowOff>147320</xdr:rowOff>
    </xdr:from>
    <xdr:to>
      <xdr:col>3</xdr:col>
      <xdr:colOff>565368</xdr:colOff>
      <xdr:row>5</xdr:row>
      <xdr:rowOff>8247</xdr:rowOff>
    </xdr:to>
    <xdr:sp macro="" textlink="">
      <xdr:nvSpPr>
        <xdr:cNvPr id="7" name="Text 7">
          <a:extLst>
            <a:ext uri="{FF2B5EF4-FFF2-40B4-BE49-F238E27FC236}">
              <a16:creationId xmlns:a16="http://schemas.microsoft.com/office/drawing/2014/main" id="{CEA31509-186F-F807-BA48-B34C95D8E131}"/>
            </a:ext>
          </a:extLst>
        </xdr:cNvPr>
        <xdr:cNvSpPr/>
      </xdr:nvSpPr>
      <xdr:spPr>
        <a:xfrm>
          <a:off x="273050" y="699770"/>
          <a:ext cx="2121118" cy="229227"/>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r>
            <a:rPr lang="en-US" sz="1050" b="1">
              <a:solidFill>
                <a:srgbClr val="0D0D0D"/>
              </a:solidFill>
              <a:latin typeface="Calibri" pitchFamily="34" charset="0"/>
              <a:ea typeface="Calibri" pitchFamily="34" charset="-122"/>
              <a:cs typeface="Calibri" pitchFamily="34" charset="-120"/>
            </a:rPr>
            <a:t>₦  REVENUE</a:t>
          </a:r>
          <a:endParaRPr lang="en-US" sz="1050"/>
        </a:p>
      </xdr:txBody>
    </xdr:sp>
    <xdr:clientData/>
  </xdr:twoCellAnchor>
  <xdr:twoCellAnchor>
    <xdr:from>
      <xdr:col>0</xdr:col>
      <xdr:colOff>278954</xdr:colOff>
      <xdr:row>4</xdr:row>
      <xdr:rowOff>182448</xdr:rowOff>
    </xdr:from>
    <xdr:to>
      <xdr:col>3</xdr:col>
      <xdr:colOff>571272</xdr:colOff>
      <xdr:row>6</xdr:row>
      <xdr:rowOff>131126</xdr:rowOff>
    </xdr:to>
    <xdr:sp macro="" textlink="'Overall Performance'!A8">
      <xdr:nvSpPr>
        <xdr:cNvPr id="8" name="Shape 8">
          <a:extLst>
            <a:ext uri="{FF2B5EF4-FFF2-40B4-BE49-F238E27FC236}">
              <a16:creationId xmlns:a16="http://schemas.microsoft.com/office/drawing/2014/main" id="{DF91220A-B4BC-3F82-140E-19E2FD692E4B}"/>
            </a:ext>
          </a:extLst>
        </xdr:cNvPr>
        <xdr:cNvSpPr/>
      </xdr:nvSpPr>
      <xdr:spPr>
        <a:xfrm>
          <a:off x="278954" y="919048"/>
          <a:ext cx="2121118" cy="316978"/>
        </a:xfrm>
        <a:prstGeom prst="rect">
          <a:avLst/>
        </a:prstGeom>
        <a:solidFill>
          <a:srgbClr val="1A1A1A"/>
        </a:solidFill>
        <a:ln w="9525">
          <a:solidFill>
            <a:srgbClr val="C9A24B"/>
          </a:solidFill>
          <a:prstDash val="solid"/>
        </a:ln>
      </xdr:spPr>
      <xdr:txBody>
        <a:bodyPr wrap="square" anchor="ctr"/>
        <a:lstStyle/>
        <a:p>
          <a:pPr algn="ctr"/>
          <a:fld id="{3C50D976-62AE-4604-9D34-91A8020C1343}" type="TxLink">
            <a:rPr lang="en-US" sz="1600" b="1" i="0" u="none" strike="noStrike">
              <a:solidFill>
                <a:schemeClr val="bg1">
                  <a:lumMod val="85000"/>
                </a:schemeClr>
              </a:solidFill>
              <a:latin typeface="Calibri"/>
              <a:ea typeface="Calibri"/>
              <a:cs typeface="Calibri"/>
            </a:rPr>
            <a:pPr algn="ctr"/>
            <a:t> ₦2,192,246,103.00 </a:t>
          </a:fld>
          <a:endParaRPr lang="en-NG" sz="1600" b="1">
            <a:solidFill>
              <a:schemeClr val="bg1">
                <a:lumMod val="85000"/>
              </a:schemeClr>
            </a:solidFill>
          </a:endParaRPr>
        </a:p>
      </xdr:txBody>
    </xdr:sp>
    <xdr:clientData/>
  </xdr:twoCellAnchor>
  <xdr:twoCellAnchor>
    <xdr:from>
      <xdr:col>4</xdr:col>
      <xdr:colOff>94365</xdr:colOff>
      <xdr:row>3</xdr:row>
      <xdr:rowOff>156274</xdr:rowOff>
    </xdr:from>
    <xdr:to>
      <xdr:col>7</xdr:col>
      <xdr:colOff>435802</xdr:colOff>
      <xdr:row>6</xdr:row>
      <xdr:rowOff>136101</xdr:rowOff>
    </xdr:to>
    <xdr:grpSp>
      <xdr:nvGrpSpPr>
        <xdr:cNvPr id="38" name="Group 37">
          <a:extLst>
            <a:ext uri="{FF2B5EF4-FFF2-40B4-BE49-F238E27FC236}">
              <a16:creationId xmlns:a16="http://schemas.microsoft.com/office/drawing/2014/main" id="{8395D93C-C81F-C8C5-1870-D8663F6DEAC0}"/>
            </a:ext>
          </a:extLst>
        </xdr:cNvPr>
        <xdr:cNvGrpSpPr/>
      </xdr:nvGrpSpPr>
      <xdr:grpSpPr>
        <a:xfrm>
          <a:off x="2532765" y="708724"/>
          <a:ext cx="2170237" cy="532277"/>
          <a:chOff x="2469265" y="708724"/>
          <a:chExt cx="2170237" cy="532277"/>
        </a:xfrm>
      </xdr:grpSpPr>
      <xdr:sp macro="" textlink="">
        <xdr:nvSpPr>
          <xdr:cNvPr id="9" name="Shape 10">
            <a:extLst>
              <a:ext uri="{FF2B5EF4-FFF2-40B4-BE49-F238E27FC236}">
                <a16:creationId xmlns:a16="http://schemas.microsoft.com/office/drawing/2014/main" id="{9D706FB2-C0D9-4BE1-8D66-74FEE093D69E}"/>
              </a:ext>
            </a:extLst>
          </xdr:cNvPr>
          <xdr:cNvSpPr/>
        </xdr:nvSpPr>
        <xdr:spPr>
          <a:xfrm>
            <a:off x="2518384" y="724643"/>
            <a:ext cx="2121118" cy="229227"/>
          </a:xfrm>
          <a:prstGeom prst="rect">
            <a:avLst/>
          </a:prstGeom>
          <a:solidFill>
            <a:srgbClr val="C9A24B"/>
          </a:solidFill>
          <a:ln/>
        </xdr:spPr>
        <xdr:txBody>
          <a:bodyPr wrap="square"/>
          <a:lstStyle/>
          <a:p>
            <a:endParaRPr lang="en-NG"/>
          </a:p>
        </xdr:txBody>
      </xdr:sp>
      <xdr:sp macro="" textlink="'Overall Performance'!A10">
        <xdr:nvSpPr>
          <xdr:cNvPr id="10" name="Shape 12">
            <a:extLst>
              <a:ext uri="{FF2B5EF4-FFF2-40B4-BE49-F238E27FC236}">
                <a16:creationId xmlns:a16="http://schemas.microsoft.com/office/drawing/2014/main" id="{C1C82AA5-2AEB-2277-BC50-0C060547A072}"/>
              </a:ext>
            </a:extLst>
          </xdr:cNvPr>
          <xdr:cNvSpPr/>
        </xdr:nvSpPr>
        <xdr:spPr>
          <a:xfrm>
            <a:off x="2518384" y="919048"/>
            <a:ext cx="2121118" cy="321953"/>
          </a:xfrm>
          <a:prstGeom prst="rect">
            <a:avLst/>
          </a:prstGeom>
          <a:solidFill>
            <a:srgbClr val="1A1A1A"/>
          </a:solidFill>
          <a:ln w="9525">
            <a:solidFill>
              <a:srgbClr val="C9A24B"/>
            </a:solidFill>
            <a:prstDash val="solid"/>
          </a:ln>
        </xdr:spPr>
        <xdr:txBody>
          <a:bodyPr wrap="square" anchor="ctr"/>
          <a:lstStyle/>
          <a:p>
            <a:pPr algn="ctr"/>
            <a:fld id="{24A2E0EB-ADDE-46CC-B924-730651B18E05}" type="TxLink">
              <a:rPr lang="en-US" sz="1600" b="1" i="0" u="none" strike="noStrike">
                <a:solidFill>
                  <a:schemeClr val="bg1">
                    <a:lumMod val="85000"/>
                  </a:schemeClr>
                </a:solidFill>
                <a:latin typeface="Calibri"/>
                <a:ea typeface="Calibri"/>
                <a:cs typeface="Calibri"/>
              </a:rPr>
              <a:pPr algn="ctr"/>
              <a:t> ₦1,098,567,507.00 </a:t>
            </a:fld>
            <a:endParaRPr lang="en-NG" sz="1600" b="1">
              <a:solidFill>
                <a:schemeClr val="bg1">
                  <a:lumMod val="85000"/>
                </a:schemeClr>
              </a:solidFill>
            </a:endParaRPr>
          </a:p>
        </xdr:txBody>
      </xdr:sp>
      <xdr:sp macro="" textlink="">
        <xdr:nvSpPr>
          <xdr:cNvPr id="19" name="Text 11">
            <a:extLst>
              <a:ext uri="{FF2B5EF4-FFF2-40B4-BE49-F238E27FC236}">
                <a16:creationId xmlns:a16="http://schemas.microsoft.com/office/drawing/2014/main" id="{1A0BFE24-4C3C-8D3D-8A60-DA08088D90DD}"/>
              </a:ext>
            </a:extLst>
          </xdr:cNvPr>
          <xdr:cNvSpPr/>
        </xdr:nvSpPr>
        <xdr:spPr>
          <a:xfrm>
            <a:off x="2469265" y="708724"/>
            <a:ext cx="2121118" cy="229227"/>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r>
              <a:rPr lang="en-US" sz="1050" b="1">
                <a:solidFill>
                  <a:srgbClr val="0D0D0D"/>
                </a:solidFill>
                <a:latin typeface="Calibri" pitchFamily="34" charset="0"/>
                <a:ea typeface="Calibri" pitchFamily="34" charset="-122"/>
                <a:cs typeface="Calibri" pitchFamily="34" charset="-120"/>
              </a:rPr>
              <a:t>−  EXPENSES</a:t>
            </a:r>
            <a:endParaRPr lang="en-US" sz="1050"/>
          </a:p>
        </xdr:txBody>
      </xdr:sp>
    </xdr:grpSp>
    <xdr:clientData/>
  </xdr:twoCellAnchor>
  <xdr:twoCellAnchor>
    <xdr:from>
      <xdr:col>7</xdr:col>
      <xdr:colOff>551229</xdr:colOff>
      <xdr:row>3</xdr:row>
      <xdr:rowOff>161249</xdr:rowOff>
    </xdr:from>
    <xdr:to>
      <xdr:col>11</xdr:col>
      <xdr:colOff>261341</xdr:colOff>
      <xdr:row>6</xdr:row>
      <xdr:rowOff>146050</xdr:rowOff>
    </xdr:to>
    <xdr:grpSp>
      <xdr:nvGrpSpPr>
        <xdr:cNvPr id="37" name="Group 36">
          <a:extLst>
            <a:ext uri="{FF2B5EF4-FFF2-40B4-BE49-F238E27FC236}">
              <a16:creationId xmlns:a16="http://schemas.microsoft.com/office/drawing/2014/main" id="{BF8E819A-375C-E0F0-4901-4D144A9263C6}"/>
            </a:ext>
          </a:extLst>
        </xdr:cNvPr>
        <xdr:cNvGrpSpPr/>
      </xdr:nvGrpSpPr>
      <xdr:grpSpPr>
        <a:xfrm>
          <a:off x="4818429" y="713699"/>
          <a:ext cx="2148512" cy="537251"/>
          <a:chOff x="4742229" y="713699"/>
          <a:chExt cx="2148512" cy="537251"/>
        </a:xfrm>
      </xdr:grpSpPr>
      <xdr:sp macro="" textlink="">
        <xdr:nvSpPr>
          <xdr:cNvPr id="11" name="Shape 14">
            <a:extLst>
              <a:ext uri="{FF2B5EF4-FFF2-40B4-BE49-F238E27FC236}">
                <a16:creationId xmlns:a16="http://schemas.microsoft.com/office/drawing/2014/main" id="{7825DE81-4763-CAD2-DF58-04970A6DBAFB}"/>
              </a:ext>
            </a:extLst>
          </xdr:cNvPr>
          <xdr:cNvSpPr/>
        </xdr:nvSpPr>
        <xdr:spPr>
          <a:xfrm>
            <a:off x="4769623" y="724643"/>
            <a:ext cx="2121118" cy="229227"/>
          </a:xfrm>
          <a:prstGeom prst="rect">
            <a:avLst/>
          </a:prstGeom>
          <a:solidFill>
            <a:srgbClr val="C9A24B"/>
          </a:solidFill>
          <a:ln/>
        </xdr:spPr>
        <xdr:txBody>
          <a:bodyPr wrap="square"/>
          <a:lstStyle/>
          <a:p>
            <a:endParaRPr lang="en-NG"/>
          </a:p>
        </xdr:txBody>
      </xdr:sp>
      <xdr:sp macro="" textlink="'Overall Performance'!A12">
        <xdr:nvSpPr>
          <xdr:cNvPr id="12" name="Shape 16">
            <a:extLst>
              <a:ext uri="{FF2B5EF4-FFF2-40B4-BE49-F238E27FC236}">
                <a16:creationId xmlns:a16="http://schemas.microsoft.com/office/drawing/2014/main" id="{BB80A452-4DA6-2EFF-70FA-20B204647CC9}"/>
              </a:ext>
            </a:extLst>
          </xdr:cNvPr>
          <xdr:cNvSpPr/>
        </xdr:nvSpPr>
        <xdr:spPr>
          <a:xfrm>
            <a:off x="4769623" y="924023"/>
            <a:ext cx="2121118" cy="326927"/>
          </a:xfrm>
          <a:prstGeom prst="rect">
            <a:avLst/>
          </a:prstGeom>
          <a:solidFill>
            <a:srgbClr val="1A1A1A"/>
          </a:solidFill>
          <a:ln w="9525">
            <a:solidFill>
              <a:srgbClr val="C9A24B"/>
            </a:solidFill>
            <a:prstDash val="solid"/>
          </a:ln>
        </xdr:spPr>
        <xdr:txBody>
          <a:bodyPr wrap="square" anchor="ctr"/>
          <a:lstStyle/>
          <a:p>
            <a:pPr algn="ctr"/>
            <a:fld id="{AB09C1A2-D9C1-4936-95CD-21FAE6007E5C}" type="TxLink">
              <a:rPr lang="en-US" sz="1600" b="1" i="0" u="none" strike="noStrike">
                <a:solidFill>
                  <a:schemeClr val="bg1">
                    <a:lumMod val="85000"/>
                  </a:schemeClr>
                </a:solidFill>
                <a:latin typeface="Calibri"/>
                <a:ea typeface="Calibri"/>
                <a:cs typeface="Calibri"/>
              </a:rPr>
              <a:pPr algn="ctr"/>
              <a:t> ₦1,093,678,596.00 </a:t>
            </a:fld>
            <a:endParaRPr lang="en-NG" sz="1600" b="1">
              <a:solidFill>
                <a:schemeClr val="bg1">
                  <a:lumMod val="85000"/>
                </a:schemeClr>
              </a:solidFill>
            </a:endParaRPr>
          </a:p>
        </xdr:txBody>
      </xdr:sp>
      <xdr:sp macro="" textlink="">
        <xdr:nvSpPr>
          <xdr:cNvPr id="22" name="Text 15">
            <a:extLst>
              <a:ext uri="{FF2B5EF4-FFF2-40B4-BE49-F238E27FC236}">
                <a16:creationId xmlns:a16="http://schemas.microsoft.com/office/drawing/2014/main" id="{E3F79CA0-8461-66E4-D98E-31BE0CE4EEDF}"/>
              </a:ext>
            </a:extLst>
          </xdr:cNvPr>
          <xdr:cNvSpPr/>
        </xdr:nvSpPr>
        <xdr:spPr>
          <a:xfrm>
            <a:off x="4742229" y="713699"/>
            <a:ext cx="2121118" cy="229227"/>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r>
              <a:rPr lang="en-US" sz="1050" b="1">
                <a:solidFill>
                  <a:srgbClr val="0D0D0D"/>
                </a:solidFill>
                <a:latin typeface="Calibri" pitchFamily="34" charset="0"/>
                <a:ea typeface="Calibri" pitchFamily="34" charset="-122"/>
                <a:cs typeface="Calibri" pitchFamily="34" charset="-120"/>
              </a:rPr>
              <a:t>↑  PROFIT</a:t>
            </a:r>
            <a:endParaRPr lang="en-US" sz="1050"/>
          </a:p>
        </xdr:txBody>
      </xdr:sp>
    </xdr:grpSp>
    <xdr:clientData/>
  </xdr:twoCellAnchor>
  <xdr:twoCellAnchor>
    <xdr:from>
      <xdr:col>11</xdr:col>
      <xdr:colOff>418645</xdr:colOff>
      <xdr:row>3</xdr:row>
      <xdr:rowOff>156274</xdr:rowOff>
    </xdr:from>
    <xdr:to>
      <xdr:col>15</xdr:col>
      <xdr:colOff>101600</xdr:colOff>
      <xdr:row>6</xdr:row>
      <xdr:rowOff>141075</xdr:rowOff>
    </xdr:to>
    <xdr:grpSp>
      <xdr:nvGrpSpPr>
        <xdr:cNvPr id="36" name="Group 35">
          <a:extLst>
            <a:ext uri="{FF2B5EF4-FFF2-40B4-BE49-F238E27FC236}">
              <a16:creationId xmlns:a16="http://schemas.microsoft.com/office/drawing/2014/main" id="{0A74BAF7-9D33-4F04-AC1A-B12D2B40EDC8}"/>
            </a:ext>
          </a:extLst>
        </xdr:cNvPr>
        <xdr:cNvGrpSpPr/>
      </xdr:nvGrpSpPr>
      <xdr:grpSpPr>
        <a:xfrm>
          <a:off x="7124245" y="708724"/>
          <a:ext cx="2121355" cy="537251"/>
          <a:chOff x="6997245" y="708724"/>
          <a:chExt cx="2121355" cy="537251"/>
        </a:xfrm>
      </xdr:grpSpPr>
      <xdr:sp macro="" textlink="'Overall Performance'!A14">
        <xdr:nvSpPr>
          <xdr:cNvPr id="14" name="Shape 20">
            <a:extLst>
              <a:ext uri="{FF2B5EF4-FFF2-40B4-BE49-F238E27FC236}">
                <a16:creationId xmlns:a16="http://schemas.microsoft.com/office/drawing/2014/main" id="{B7A01B0C-E074-F57D-972A-D3617E151405}"/>
              </a:ext>
            </a:extLst>
          </xdr:cNvPr>
          <xdr:cNvSpPr/>
        </xdr:nvSpPr>
        <xdr:spPr>
          <a:xfrm>
            <a:off x="6997245" y="919048"/>
            <a:ext cx="2121118" cy="326927"/>
          </a:xfrm>
          <a:prstGeom prst="rect">
            <a:avLst/>
          </a:prstGeom>
          <a:solidFill>
            <a:srgbClr val="1A1A1A"/>
          </a:solidFill>
          <a:ln w="9525">
            <a:solidFill>
              <a:srgbClr val="C9A24B"/>
            </a:solidFill>
            <a:prstDash val="solid"/>
          </a:ln>
        </xdr:spPr>
        <xdr:txBody>
          <a:bodyPr wrap="square" anchor="ctr"/>
          <a:lstStyle/>
          <a:p>
            <a:pPr algn="ctr"/>
            <a:fld id="{A2F7065E-C02F-4BA4-87D8-CAB6B32E1197}" type="TxLink">
              <a:rPr lang="en-US" sz="1600" b="1" i="0" u="none" strike="noStrike">
                <a:solidFill>
                  <a:schemeClr val="bg1">
                    <a:lumMod val="85000"/>
                  </a:schemeClr>
                </a:solidFill>
                <a:latin typeface="Calibri"/>
                <a:ea typeface="Calibri"/>
                <a:cs typeface="Calibri"/>
              </a:rPr>
              <a:pPr algn="ctr"/>
              <a:t>49.89%</a:t>
            </a:fld>
            <a:endParaRPr lang="en-NG" sz="1600" b="1">
              <a:solidFill>
                <a:schemeClr val="bg1">
                  <a:lumMod val="85000"/>
                </a:schemeClr>
              </a:solidFill>
            </a:endParaRPr>
          </a:p>
        </xdr:txBody>
      </xdr:sp>
      <xdr:sp macro="" textlink="">
        <xdr:nvSpPr>
          <xdr:cNvPr id="13" name="Shape 18">
            <a:extLst>
              <a:ext uri="{FF2B5EF4-FFF2-40B4-BE49-F238E27FC236}">
                <a16:creationId xmlns:a16="http://schemas.microsoft.com/office/drawing/2014/main" id="{2498BE4A-60C6-7579-8284-27226A7A795D}"/>
              </a:ext>
            </a:extLst>
          </xdr:cNvPr>
          <xdr:cNvSpPr/>
        </xdr:nvSpPr>
        <xdr:spPr>
          <a:xfrm>
            <a:off x="6997245" y="724643"/>
            <a:ext cx="2121118" cy="229227"/>
          </a:xfrm>
          <a:prstGeom prst="rect">
            <a:avLst/>
          </a:prstGeom>
          <a:solidFill>
            <a:srgbClr val="C9A24B"/>
          </a:solidFill>
          <a:ln/>
        </xdr:spPr>
        <xdr:txBody>
          <a:bodyPr wrap="square"/>
          <a:lstStyle/>
          <a:p>
            <a:endParaRPr lang="en-NG"/>
          </a:p>
        </xdr:txBody>
      </xdr:sp>
      <xdr:sp macro="" textlink="">
        <xdr:nvSpPr>
          <xdr:cNvPr id="23" name="Text 19">
            <a:extLst>
              <a:ext uri="{FF2B5EF4-FFF2-40B4-BE49-F238E27FC236}">
                <a16:creationId xmlns:a16="http://schemas.microsoft.com/office/drawing/2014/main" id="{F294670D-1AF8-0019-2414-BE05C47F64F7}"/>
              </a:ext>
            </a:extLst>
          </xdr:cNvPr>
          <xdr:cNvSpPr/>
        </xdr:nvSpPr>
        <xdr:spPr>
          <a:xfrm>
            <a:off x="6997482" y="708724"/>
            <a:ext cx="2121118" cy="229227"/>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r>
              <a:rPr lang="en-US" sz="1050" b="1">
                <a:solidFill>
                  <a:srgbClr val="0D0D0D"/>
                </a:solidFill>
                <a:latin typeface="Calibri" pitchFamily="34" charset="0"/>
                <a:ea typeface="Calibri" pitchFamily="34" charset="-122"/>
                <a:cs typeface="Calibri" pitchFamily="34" charset="-120"/>
              </a:rPr>
              <a:t>%  PROFIT MARGIN</a:t>
            </a:r>
            <a:endParaRPr lang="en-US" sz="1050"/>
          </a:p>
        </xdr:txBody>
      </xdr:sp>
    </xdr:grpSp>
    <xdr:clientData/>
  </xdr:twoCellAnchor>
  <xdr:twoCellAnchor>
    <xdr:from>
      <xdr:col>0</xdr:col>
      <xdr:colOff>273050</xdr:colOff>
      <xdr:row>7</xdr:row>
      <xdr:rowOff>146050</xdr:rowOff>
    </xdr:from>
    <xdr:to>
      <xdr:col>11</xdr:col>
      <xdr:colOff>285750</xdr:colOff>
      <xdr:row>16</xdr:row>
      <xdr:rowOff>50799</xdr:rowOff>
    </xdr:to>
    <xdr:graphicFrame macro="">
      <xdr:nvGraphicFramePr>
        <xdr:cNvPr id="28" name="Chart 27">
          <a:extLst>
            <a:ext uri="{FF2B5EF4-FFF2-40B4-BE49-F238E27FC236}">
              <a16:creationId xmlns:a16="http://schemas.microsoft.com/office/drawing/2014/main" id="{3A1F2A48-9C9E-4FAE-A598-9C8E95B38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273050</xdr:colOff>
      <xdr:row>17</xdr:row>
      <xdr:rowOff>28250</xdr:rowOff>
    </xdr:from>
    <xdr:to>
      <xdr:col>6</xdr:col>
      <xdr:colOff>571500</xdr:colOff>
      <xdr:row>23</xdr:row>
      <xdr:rowOff>88900</xdr:rowOff>
    </xdr:to>
    <xdr:graphicFrame macro="">
      <xdr:nvGraphicFramePr>
        <xdr:cNvPr id="29" name="Chart 28">
          <a:extLst>
            <a:ext uri="{FF2B5EF4-FFF2-40B4-BE49-F238E27FC236}">
              <a16:creationId xmlns:a16="http://schemas.microsoft.com/office/drawing/2014/main" id="{147B1805-D105-4AE1-A5A1-031E4B1A2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177800</xdr:colOff>
      <xdr:row>17</xdr:row>
      <xdr:rowOff>21936</xdr:rowOff>
    </xdr:from>
    <xdr:to>
      <xdr:col>15</xdr:col>
      <xdr:colOff>107950</xdr:colOff>
      <xdr:row>23</xdr:row>
      <xdr:rowOff>88900</xdr:rowOff>
    </xdr:to>
    <xdr:graphicFrame macro="">
      <xdr:nvGraphicFramePr>
        <xdr:cNvPr id="30" name="Chart 29">
          <a:extLst>
            <a:ext uri="{FF2B5EF4-FFF2-40B4-BE49-F238E27FC236}">
              <a16:creationId xmlns:a16="http://schemas.microsoft.com/office/drawing/2014/main" id="{53FC19E5-393D-4788-A540-9F9E62613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228599</xdr:colOff>
      <xdr:row>15</xdr:row>
      <xdr:rowOff>82549</xdr:rowOff>
    </xdr:from>
    <xdr:to>
      <xdr:col>19</xdr:col>
      <xdr:colOff>247649</xdr:colOff>
      <xdr:row>24</xdr:row>
      <xdr:rowOff>6357</xdr:rowOff>
    </xdr:to>
    <xdr:grpSp>
      <xdr:nvGrpSpPr>
        <xdr:cNvPr id="31" name="Group 30">
          <a:extLst>
            <a:ext uri="{FF2B5EF4-FFF2-40B4-BE49-F238E27FC236}">
              <a16:creationId xmlns:a16="http://schemas.microsoft.com/office/drawing/2014/main" id="{7FDD02F0-F87F-48C9-B39E-DFDEC6280A11}"/>
            </a:ext>
          </a:extLst>
        </xdr:cNvPr>
        <xdr:cNvGrpSpPr/>
      </xdr:nvGrpSpPr>
      <xdr:grpSpPr>
        <a:xfrm>
          <a:off x="9372599" y="2844799"/>
          <a:ext cx="2457450" cy="1581158"/>
          <a:chOff x="8037495" y="3040283"/>
          <a:chExt cx="1686213" cy="996363"/>
        </a:xfrm>
      </xdr:grpSpPr>
      <xdr:sp macro="" textlink="">
        <xdr:nvSpPr>
          <xdr:cNvPr id="32" name="TextBox 31">
            <a:extLst>
              <a:ext uri="{FF2B5EF4-FFF2-40B4-BE49-F238E27FC236}">
                <a16:creationId xmlns:a16="http://schemas.microsoft.com/office/drawing/2014/main" id="{517BA70E-59B1-A9D3-CB8F-E138C2B90353}"/>
              </a:ext>
            </a:extLst>
          </xdr:cNvPr>
          <xdr:cNvSpPr txBox="1"/>
        </xdr:nvSpPr>
        <xdr:spPr>
          <a:xfrm>
            <a:off x="8143532" y="3040283"/>
            <a:ext cx="1314391" cy="231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D4A24E"/>
                </a:solidFill>
                <a:latin typeface="+mn-lt"/>
              </a:rPr>
              <a:t>key Insights</a:t>
            </a:r>
            <a:endParaRPr lang="en-NG" sz="1400" b="1">
              <a:solidFill>
                <a:srgbClr val="D4A24E"/>
              </a:solidFill>
              <a:latin typeface="+mn-lt"/>
            </a:endParaRPr>
          </a:p>
        </xdr:txBody>
      </xdr:sp>
      <xdr:sp macro="" textlink="">
        <xdr:nvSpPr>
          <xdr:cNvPr id="33" name="TextBox 32">
            <a:extLst>
              <a:ext uri="{FF2B5EF4-FFF2-40B4-BE49-F238E27FC236}">
                <a16:creationId xmlns:a16="http://schemas.microsoft.com/office/drawing/2014/main" id="{DC589295-251E-2082-89B1-F138576B7F65}"/>
              </a:ext>
            </a:extLst>
          </xdr:cNvPr>
          <xdr:cNvSpPr txBox="1"/>
        </xdr:nvSpPr>
        <xdr:spPr>
          <a:xfrm>
            <a:off x="8037495" y="3208343"/>
            <a:ext cx="1686213" cy="828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buNone/>
            </a:pPr>
            <a:r>
              <a:rPr lang="en-US" sz="900" b="1" i="1">
                <a:solidFill>
                  <a:schemeClr val="bg2"/>
                </a:solidFill>
              </a:rPr>
              <a:t>- </a:t>
            </a:r>
            <a:r>
              <a:rPr lang="en-NG" sz="900" b="1" i="1">
                <a:solidFill>
                  <a:schemeClr val="bg2"/>
                </a:solidFill>
              </a:rPr>
              <a:t>Zen T-Shirt led revenue </a:t>
            </a:r>
            <a:r>
              <a:rPr lang="en-US" sz="900" b="1" i="1">
                <a:solidFill>
                  <a:schemeClr val="bg2"/>
                </a:solidFill>
              </a:rPr>
              <a:t>of</a:t>
            </a:r>
            <a:r>
              <a:rPr lang="en-NG" sz="900" b="1" i="1">
                <a:solidFill>
                  <a:schemeClr val="bg2"/>
                </a:solidFill>
              </a:rPr>
              <a:t> ₦1.35B </a:t>
            </a:r>
            <a:r>
              <a:rPr lang="en-US" sz="900" b="1" i="1">
                <a:solidFill>
                  <a:schemeClr val="bg2"/>
                </a:solidFill>
              </a:rPr>
              <a:t>which</a:t>
            </a:r>
            <a:r>
              <a:rPr lang="en-US" sz="900" b="1" i="1" baseline="0">
                <a:solidFill>
                  <a:schemeClr val="bg2"/>
                </a:solidFill>
              </a:rPr>
              <a:t> is </a:t>
            </a:r>
            <a:r>
              <a:rPr lang="en-NG" sz="900" b="1" i="1">
                <a:solidFill>
                  <a:schemeClr val="bg2"/>
                </a:solidFill>
              </a:rPr>
              <a:t>(61.7%)</a:t>
            </a:r>
          </a:p>
          <a:p>
            <a:pPr>
              <a:buNone/>
            </a:pPr>
            <a:r>
              <a:rPr lang="en-NG" sz="900" b="1" i="1">
                <a:solidFill>
                  <a:schemeClr val="bg2"/>
                </a:solidFill>
              </a:rPr>
              <a:t> </a:t>
            </a:r>
            <a:r>
              <a:rPr lang="en-US" sz="900" b="1" i="1">
                <a:solidFill>
                  <a:schemeClr val="bg2"/>
                </a:solidFill>
              </a:rPr>
              <a:t>- </a:t>
            </a:r>
            <a:r>
              <a:rPr lang="en-NG" sz="900" b="1" i="1">
                <a:solidFill>
                  <a:schemeClr val="bg2"/>
                </a:solidFill>
              </a:rPr>
              <a:t>Zen T-Shirt had the highest margin</a:t>
            </a:r>
            <a:r>
              <a:rPr lang="en-US" sz="900" b="1" i="1" baseline="0">
                <a:solidFill>
                  <a:schemeClr val="bg2"/>
                </a:solidFill>
              </a:rPr>
              <a:t> of</a:t>
            </a:r>
            <a:r>
              <a:rPr lang="en-NG" sz="900" b="1" i="1">
                <a:solidFill>
                  <a:schemeClr val="bg2"/>
                </a:solidFill>
              </a:rPr>
              <a:t> 56.2%</a:t>
            </a:r>
          </a:p>
          <a:p>
            <a:pPr>
              <a:buNone/>
            </a:pPr>
            <a:r>
              <a:rPr lang="en-US" sz="900" b="1" i="1" baseline="0">
                <a:solidFill>
                  <a:schemeClr val="bg2"/>
                </a:solidFill>
              </a:rPr>
              <a:t> - </a:t>
            </a:r>
            <a:r>
              <a:rPr lang="en-NG" sz="900" b="1" i="1">
                <a:solidFill>
                  <a:schemeClr val="bg2"/>
                </a:solidFill>
              </a:rPr>
              <a:t>Profit rose 13.6% in 2025 despite a 1.3% revenue decline, driven by a 14.2% reduction in expenses.</a:t>
            </a:r>
            <a:r>
              <a:rPr lang="en-US" sz="900" b="1" i="1" baseline="0">
                <a:solidFill>
                  <a:schemeClr val="bg2"/>
                </a:solidFill>
              </a:rPr>
              <a:t> </a:t>
            </a:r>
          </a:p>
          <a:p>
            <a:pPr>
              <a:buNone/>
            </a:pPr>
            <a:r>
              <a:rPr lang="en-US" sz="900" b="1" i="1" baseline="0">
                <a:solidFill>
                  <a:schemeClr val="bg2"/>
                </a:solidFill>
              </a:rPr>
              <a:t>- </a:t>
            </a:r>
            <a:r>
              <a:rPr lang="en-NG" sz="900" b="1" i="1">
                <a:solidFill>
                  <a:schemeClr val="bg2"/>
                </a:solidFill>
              </a:rPr>
              <a:t>August recorded the highest revenue </a:t>
            </a:r>
            <a:r>
              <a:rPr lang="en-US" sz="900" b="1" i="1">
                <a:solidFill>
                  <a:schemeClr val="bg2"/>
                </a:solidFill>
              </a:rPr>
              <a:t>with</a:t>
            </a:r>
            <a:r>
              <a:rPr lang="en-NG" sz="900" b="1" i="1">
                <a:solidFill>
                  <a:schemeClr val="bg2"/>
                </a:solidFill>
              </a:rPr>
              <a:t> ₦333.3M</a:t>
            </a:r>
          </a:p>
          <a:p>
            <a:pPr marL="0" marR="0" lvl="0" indent="0" algn="l" defTabSz="914400" eaLnBrk="1" fontAlgn="auto" latinLnBrk="0" hangingPunct="1">
              <a:lnSpc>
                <a:spcPct val="100000"/>
              </a:lnSpc>
              <a:spcBef>
                <a:spcPts val="0"/>
              </a:spcBef>
              <a:spcAft>
                <a:spcPts val="0"/>
              </a:spcAft>
              <a:buClrTx/>
              <a:buSzTx/>
              <a:buFontTx/>
              <a:buNone/>
              <a:tabLst/>
              <a:defRPr/>
            </a:pPr>
            <a:endParaRPr lang="en-NG" sz="900" b="1" i="1">
              <a:solidFill>
                <a:schemeClr val="bg2"/>
              </a:solidFill>
              <a:effectLst/>
            </a:endParaRPr>
          </a:p>
          <a:p>
            <a:pPr algn="l"/>
            <a:endParaRPr lang="en-NG" sz="900" b="1" i="1">
              <a:solidFill>
                <a:schemeClr val="bg2"/>
              </a:solidFill>
            </a:endParaRPr>
          </a:p>
        </xdr:txBody>
      </xdr:sp>
    </xdr:grpSp>
    <xdr:clientData/>
  </xdr:twoCellAnchor>
  <xdr:twoCellAnchor editAs="oneCell">
    <xdr:from>
      <xdr:col>11</xdr:col>
      <xdr:colOff>406400</xdr:colOff>
      <xdr:row>12</xdr:row>
      <xdr:rowOff>60347</xdr:rowOff>
    </xdr:from>
    <xdr:to>
      <xdr:col>15</xdr:col>
      <xdr:colOff>92000</xdr:colOff>
      <xdr:row>16</xdr:row>
      <xdr:rowOff>43747</xdr:rowOff>
    </xdr:to>
    <mc:AlternateContent xmlns:mc="http://schemas.openxmlformats.org/markup-compatibility/2006" xmlns:a14="http://schemas.microsoft.com/office/drawing/2010/main">
      <mc:Choice Requires="a14">
        <xdr:graphicFrame macro="">
          <xdr:nvGraphicFramePr>
            <xdr:cNvPr id="34" name="Product 3">
              <a:extLst>
                <a:ext uri="{FF2B5EF4-FFF2-40B4-BE49-F238E27FC236}">
                  <a16:creationId xmlns:a16="http://schemas.microsoft.com/office/drawing/2014/main" id="{E8E8A00D-F456-441B-AD3E-6D6B57AA3132}"/>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7112000" y="2270147"/>
              <a:ext cx="2124000" cy="72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410918</xdr:colOff>
      <xdr:row>7</xdr:row>
      <xdr:rowOff>139700</xdr:rowOff>
    </xdr:from>
    <xdr:to>
      <xdr:col>15</xdr:col>
      <xdr:colOff>96518</xdr:colOff>
      <xdr:row>12</xdr:row>
      <xdr:rowOff>46950</xdr:rowOff>
    </xdr:to>
    <mc:AlternateContent xmlns:mc="http://schemas.openxmlformats.org/markup-compatibility/2006" xmlns:a14="http://schemas.microsoft.com/office/drawing/2010/main">
      <mc:Choice Requires="a14">
        <xdr:graphicFrame macro="">
          <xdr:nvGraphicFramePr>
            <xdr:cNvPr id="35" name="Years (Date) 2">
              <a:extLst>
                <a:ext uri="{FF2B5EF4-FFF2-40B4-BE49-F238E27FC236}">
                  <a16:creationId xmlns:a16="http://schemas.microsoft.com/office/drawing/2014/main" id="{BFF86311-2115-49FE-A807-C3FE2B8EC214}"/>
                </a:ext>
              </a:extLst>
            </xdr:cNvPr>
            <xdr:cNvGraphicFramePr/>
          </xdr:nvGraphicFramePr>
          <xdr:xfrm>
            <a:off x="0" y="0"/>
            <a:ext cx="0" cy="0"/>
          </xdr:xfrm>
          <a:graphic>
            <a:graphicData uri="http://schemas.microsoft.com/office/drawing/2010/slicer">
              <sle:slicer xmlns:sle="http://schemas.microsoft.com/office/drawing/2010/slicer" name="Years (Date) 2"/>
            </a:graphicData>
          </a:graphic>
        </xdr:graphicFrame>
      </mc:Choice>
      <mc:Fallback xmlns="">
        <xdr:sp macro="" textlink="">
          <xdr:nvSpPr>
            <xdr:cNvPr id="0" name=""/>
            <xdr:cNvSpPr>
              <a:spLocks noTextEdit="1"/>
            </xdr:cNvSpPr>
          </xdr:nvSpPr>
          <xdr:spPr>
            <a:xfrm>
              <a:off x="7116518" y="1428750"/>
              <a:ext cx="2124000" cy="828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571500</xdr:colOff>
      <xdr:row>0</xdr:row>
      <xdr:rowOff>57150</xdr:rowOff>
    </xdr:from>
    <xdr:to>
      <xdr:col>24</xdr:col>
      <xdr:colOff>419100</xdr:colOff>
      <xdr:row>2</xdr:row>
      <xdr:rowOff>177800</xdr:rowOff>
    </xdr:to>
    <xdr:grpSp>
      <xdr:nvGrpSpPr>
        <xdr:cNvPr id="43" name="Group 42">
          <a:extLst>
            <a:ext uri="{FF2B5EF4-FFF2-40B4-BE49-F238E27FC236}">
              <a16:creationId xmlns:a16="http://schemas.microsoft.com/office/drawing/2014/main" id="{95FAC753-65BB-4179-A7BE-7C064F0765BE}"/>
            </a:ext>
          </a:extLst>
        </xdr:cNvPr>
        <xdr:cNvGrpSpPr/>
      </xdr:nvGrpSpPr>
      <xdr:grpSpPr>
        <a:xfrm>
          <a:off x="9715500" y="57150"/>
          <a:ext cx="5334000" cy="488950"/>
          <a:chOff x="2438400" y="4787900"/>
          <a:chExt cx="3584448" cy="329184"/>
        </a:xfrm>
      </xdr:grpSpPr>
      <xdr:pic>
        <xdr:nvPicPr>
          <xdr:cNvPr id="44" name="Image 0">
            <a:extLst>
              <a:ext uri="{FF2B5EF4-FFF2-40B4-BE49-F238E27FC236}">
                <a16:creationId xmlns:a16="http://schemas.microsoft.com/office/drawing/2014/main" id="{27EF95B1-71C9-D358-4593-9D10E5A431B6}"/>
              </a:ext>
            </a:extLst>
          </xdr:cNvPr>
          <xdr:cNvPicPr>
            <a:picLocks noChangeAspect="1"/>
          </xdr:cNvPicPr>
        </xdr:nvPicPr>
        <xdr:blipFill>
          <a:blip xmlns:r="http://schemas.openxmlformats.org/officeDocument/2006/relationships" r:embed="rId4"/>
          <a:stretch>
            <a:fillRect/>
          </a:stretch>
        </xdr:blipFill>
        <xdr:spPr>
          <a:xfrm>
            <a:off x="2438400" y="4806188"/>
            <a:ext cx="292608" cy="292608"/>
          </a:xfrm>
          <a:prstGeom prst="rect">
            <a:avLst/>
          </a:prstGeom>
        </xdr:spPr>
      </xdr:pic>
      <xdr:sp macro="" textlink="">
        <xdr:nvSpPr>
          <xdr:cNvPr id="45" name="Text 32">
            <a:extLst>
              <a:ext uri="{FF2B5EF4-FFF2-40B4-BE49-F238E27FC236}">
                <a16:creationId xmlns:a16="http://schemas.microsoft.com/office/drawing/2014/main" id="{E9E476CE-0BCB-0AB3-3352-8627DE3D8A24}"/>
              </a:ext>
            </a:extLst>
          </xdr:cNvPr>
          <xdr:cNvSpPr/>
        </xdr:nvSpPr>
        <xdr:spPr>
          <a:xfrm>
            <a:off x="2822448" y="4787900"/>
            <a:ext cx="3200400" cy="182880"/>
          </a:xfrm>
          <a:prstGeom prst="rect">
            <a:avLst/>
          </a:prstGeom>
          <a:noFill/>
          <a:ln/>
        </xdr:spPr>
        <xdr:txBody>
          <a:bodyPr wrap="square" lIns="0" tIns="0" rIns="0" bIns="0" rtlCol="0" anchor="b"/>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a:buNone/>
            </a:pPr>
            <a:r>
              <a:rPr lang="en-US" sz="1050" b="1">
                <a:solidFill>
                  <a:srgbClr val="F5F5F5"/>
                </a:solidFill>
                <a:latin typeface="Calibri" pitchFamily="34" charset="0"/>
                <a:ea typeface="Calibri" pitchFamily="34" charset="-122"/>
                <a:cs typeface="Calibri" pitchFamily="34" charset="-120"/>
              </a:rPr>
              <a:t>Moyinoluwa Oso OgoOluwa</a:t>
            </a:r>
            <a:endParaRPr lang="en-US" sz="1050"/>
          </a:p>
        </xdr:txBody>
      </xdr:sp>
      <xdr:sp macro="" textlink="">
        <xdr:nvSpPr>
          <xdr:cNvPr id="46" name="Text 33">
            <a:extLst>
              <a:ext uri="{FF2B5EF4-FFF2-40B4-BE49-F238E27FC236}">
                <a16:creationId xmlns:a16="http://schemas.microsoft.com/office/drawing/2014/main" id="{837B26E6-1F7C-651F-FEE2-10A5FE41E369}"/>
              </a:ext>
            </a:extLst>
          </xdr:cNvPr>
          <xdr:cNvSpPr/>
        </xdr:nvSpPr>
        <xdr:spPr>
          <a:xfrm>
            <a:off x="2822448" y="4952492"/>
            <a:ext cx="3200400" cy="164592"/>
          </a:xfrm>
          <a:prstGeom prst="rect">
            <a:avLst/>
          </a:prstGeom>
          <a:noFill/>
          <a:ln/>
        </xdr:spPr>
        <xdr:txBody>
          <a:bodyPr wrap="square" lIns="0" tIns="0" rIns="0" bIns="0" rtlCol="0" anchor="t"/>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a:buNone/>
            </a:pPr>
            <a:r>
              <a:rPr lang="en-US" sz="800">
                <a:solidFill>
                  <a:srgbClr val="A8A8A8"/>
                </a:solidFill>
                <a:latin typeface="Calibri" pitchFamily="34" charset="0"/>
                <a:ea typeface="Calibri" pitchFamily="34" charset="-122"/>
                <a:cs typeface="Calibri" pitchFamily="34" charset="-120"/>
              </a:rPr>
              <a:t>Data AnalysT</a:t>
            </a:r>
            <a:endParaRPr lang="en-US" sz="800"/>
          </a:p>
        </xdr:txBody>
      </xdr:sp>
    </xdr:grpSp>
    <xdr:clientData/>
  </xdr:twoCellAnchor>
  <xdr:twoCellAnchor>
    <xdr:from>
      <xdr:col>15</xdr:col>
      <xdr:colOff>329745</xdr:colOff>
      <xdr:row>7</xdr:row>
      <xdr:rowOff>127000</xdr:rowOff>
    </xdr:from>
    <xdr:to>
      <xdr:col>19</xdr:col>
      <xdr:colOff>12700</xdr:colOff>
      <xdr:row>15</xdr:row>
      <xdr:rowOff>44450</xdr:rowOff>
    </xdr:to>
    <xdr:grpSp>
      <xdr:nvGrpSpPr>
        <xdr:cNvPr id="17" name="Group 16">
          <a:extLst>
            <a:ext uri="{FF2B5EF4-FFF2-40B4-BE49-F238E27FC236}">
              <a16:creationId xmlns:a16="http://schemas.microsoft.com/office/drawing/2014/main" id="{B360AAD5-335E-424A-9E93-B6C5F7BC9DE4}"/>
            </a:ext>
          </a:extLst>
        </xdr:cNvPr>
        <xdr:cNvGrpSpPr/>
      </xdr:nvGrpSpPr>
      <xdr:grpSpPr>
        <a:xfrm>
          <a:off x="9473745" y="1416050"/>
          <a:ext cx="2121355" cy="1390650"/>
          <a:chOff x="6997245" y="708724"/>
          <a:chExt cx="2121355" cy="537251"/>
        </a:xfrm>
      </xdr:grpSpPr>
      <xdr:sp macro="" textlink="'Overall Performance'!A14">
        <xdr:nvSpPr>
          <xdr:cNvPr id="18" name="Shape 20">
            <a:extLst>
              <a:ext uri="{FF2B5EF4-FFF2-40B4-BE49-F238E27FC236}">
                <a16:creationId xmlns:a16="http://schemas.microsoft.com/office/drawing/2014/main" id="{ED965ABD-A88D-B7AC-7D7F-DDFBCCC8E1B3}"/>
              </a:ext>
            </a:extLst>
          </xdr:cNvPr>
          <xdr:cNvSpPr/>
        </xdr:nvSpPr>
        <xdr:spPr>
          <a:xfrm>
            <a:off x="6997245" y="919048"/>
            <a:ext cx="2121118" cy="326927"/>
          </a:xfrm>
          <a:prstGeom prst="rect">
            <a:avLst/>
          </a:prstGeom>
          <a:solidFill>
            <a:srgbClr val="1A1A1A"/>
          </a:solidFill>
          <a:ln w="9525">
            <a:solidFill>
              <a:srgbClr val="C9A24B"/>
            </a:solidFill>
            <a:prstDash val="solid"/>
          </a:ln>
        </xdr:spPr>
        <xdr:txBody>
          <a:bodyPr wrap="square" anchor="ctr"/>
          <a:lstStyle/>
          <a:p>
            <a:pPr algn="ctr"/>
            <a:r>
              <a:rPr lang="en-NG" sz="1600" b="1">
                <a:solidFill>
                  <a:schemeClr val="bg2"/>
                </a:solidFill>
              </a:rPr>
              <a:t>2024 — 46.4%</a:t>
            </a:r>
            <a:br>
              <a:rPr lang="en-NG" sz="1600">
                <a:solidFill>
                  <a:schemeClr val="bg2"/>
                </a:solidFill>
              </a:rPr>
            </a:br>
            <a:r>
              <a:rPr lang="en-NG" sz="1600" b="1">
                <a:solidFill>
                  <a:schemeClr val="bg2"/>
                </a:solidFill>
              </a:rPr>
              <a:t>2025 — 53.4%</a:t>
            </a:r>
          </a:p>
        </xdr:txBody>
      </xdr:sp>
      <xdr:sp macro="" textlink="">
        <xdr:nvSpPr>
          <xdr:cNvPr id="20" name="Shape 18">
            <a:extLst>
              <a:ext uri="{FF2B5EF4-FFF2-40B4-BE49-F238E27FC236}">
                <a16:creationId xmlns:a16="http://schemas.microsoft.com/office/drawing/2014/main" id="{E9A26224-587E-7334-E2F2-05450F8D5786}"/>
              </a:ext>
            </a:extLst>
          </xdr:cNvPr>
          <xdr:cNvSpPr/>
        </xdr:nvSpPr>
        <xdr:spPr>
          <a:xfrm>
            <a:off x="6997245" y="724643"/>
            <a:ext cx="2121118" cy="229227"/>
          </a:xfrm>
          <a:prstGeom prst="rect">
            <a:avLst/>
          </a:prstGeom>
          <a:solidFill>
            <a:srgbClr val="C9A24B"/>
          </a:solidFill>
          <a:ln/>
        </xdr:spPr>
        <xdr:txBody>
          <a:bodyPr wrap="square"/>
          <a:lstStyle/>
          <a:p>
            <a:endParaRPr lang="en-NG"/>
          </a:p>
        </xdr:txBody>
      </xdr:sp>
      <xdr:sp macro="" textlink="">
        <xdr:nvSpPr>
          <xdr:cNvPr id="21" name="Text 19">
            <a:extLst>
              <a:ext uri="{FF2B5EF4-FFF2-40B4-BE49-F238E27FC236}">
                <a16:creationId xmlns:a16="http://schemas.microsoft.com/office/drawing/2014/main" id="{A8BD2174-96E4-94CE-F7B5-E7366801CC5C}"/>
              </a:ext>
            </a:extLst>
          </xdr:cNvPr>
          <xdr:cNvSpPr/>
        </xdr:nvSpPr>
        <xdr:spPr>
          <a:xfrm>
            <a:off x="6997482" y="708724"/>
            <a:ext cx="2121118" cy="229227"/>
          </a:xfrm>
          <a:prstGeom prst="rect">
            <a:avLst/>
          </a:prstGeom>
          <a:noFill/>
          <a:ln/>
        </xdr:spPr>
        <xdr:txBody>
          <a:bodyPr wrap="square" lIns="0" tIns="0" rIns="0" bIns="0" rtlCol="0" anchor="ctr"/>
          <a:lstStyle>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None/>
            </a:pPr>
            <a:r>
              <a:rPr lang="en-US" sz="1050" b="1">
                <a:solidFill>
                  <a:srgbClr val="0D0D0D"/>
                </a:solidFill>
                <a:latin typeface="Calibri" pitchFamily="34" charset="0"/>
                <a:ea typeface="Calibri" pitchFamily="34" charset="-122"/>
                <a:cs typeface="Calibri" pitchFamily="34" charset="-120"/>
              </a:rPr>
              <a:t>%  PROFIT MARGIN</a:t>
            </a:r>
          </a:p>
          <a:p>
            <a:pPr marL="0" indent="0" algn="ctr">
              <a:buNone/>
            </a:pPr>
            <a:r>
              <a:rPr lang="en-US" sz="1050" b="1">
                <a:solidFill>
                  <a:srgbClr val="0D0D0D"/>
                </a:solidFill>
                <a:latin typeface="Calibri" pitchFamily="34" charset="0"/>
                <a:ea typeface="Calibri" pitchFamily="34" charset="-122"/>
                <a:cs typeface="Calibri" pitchFamily="34" charset="-120"/>
              </a:rPr>
              <a:t> BY</a:t>
            </a:r>
            <a:r>
              <a:rPr lang="en-US" sz="1050" b="1" baseline="0">
                <a:solidFill>
                  <a:srgbClr val="0D0D0D"/>
                </a:solidFill>
                <a:latin typeface="Calibri" pitchFamily="34" charset="0"/>
                <a:ea typeface="Calibri" pitchFamily="34" charset="-122"/>
                <a:cs typeface="Calibri" pitchFamily="34" charset="-120"/>
              </a:rPr>
              <a:t> YEAR</a:t>
            </a:r>
            <a:endParaRPr lang="en-US" sz="105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yinoluwa Oso" refreshedDate="46253.623508680554" createdVersion="8" refreshedVersion="8" minRefreshableVersion="3" recordCount="250" xr:uid="{00000000-000A-0000-FFFF-FFFF14000000}">
  <cacheSource type="worksheet">
    <worksheetSource name="Table1"/>
  </cacheSource>
  <cacheFields count="8">
    <cacheField name="Product" numFmtId="0">
      <sharedItems count="3">
        <s v="Asobe Shirt"/>
        <s v="Zen T-Shirt"/>
        <s v="Unknown"/>
      </sharedItems>
    </cacheField>
    <cacheField name="Revenue" numFmtId="2">
      <sharedItems containsSemiMixedTypes="0" containsString="0" containsNumber="1" containsInteger="1" minValue="2093322" maxValue="17872796"/>
    </cacheField>
    <cacheField name="Expenses" numFmtId="2">
      <sharedItems containsSemiMixedTypes="0" containsString="0" containsNumber="1" containsInteger="1" minValue="846252" maxValue="9516586"/>
    </cacheField>
    <cacheField name="Profit" numFmtId="2">
      <sharedItems containsSemiMixedTypes="0" containsString="0" containsNumber="1" containsInteger="1" minValue="227945" maxValue="14021471"/>
    </cacheField>
    <cacheField name="Date" numFmtId="14">
      <sharedItems containsNonDate="0" containsDate="1" containsString="0" containsBlank="1" minDate="2024-01-01T00:00:00" maxDate="2026-01-01T00:00:00" count="191">
        <d v="2024-07-15T00:00:00"/>
        <d v="2024-04-03T00:00:00"/>
        <m/>
        <d v="2024-03-14T00:00:00"/>
        <d v="2025-09-15T00:00:00"/>
        <d v="2025-06-13T00:00:00"/>
        <d v="2025-07-05T00:00:00"/>
        <d v="2024-08-12T00:00:00"/>
        <d v="2024-08-08T00:00:00"/>
        <d v="2025-08-01T00:00:00"/>
        <d v="2025-10-16T00:00:00"/>
        <d v="2025-03-05T00:00:00"/>
        <d v="2024-08-05T00:00:00"/>
        <d v="2024-05-06T00:00:00"/>
        <d v="2024-01-20T00:00:00"/>
        <d v="2025-10-04T00:00:00"/>
        <d v="2024-02-27T00:00:00"/>
        <d v="2025-12-25T00:00:00"/>
        <d v="2025-12-05T00:00:00"/>
        <d v="2024-05-08T00:00:00"/>
        <d v="2024-08-07T00:00:00"/>
        <d v="2025-06-01T00:00:00"/>
        <d v="2024-12-29T00:00:00"/>
        <d v="2025-04-09T00:00:00"/>
        <d v="2024-05-11T00:00:00"/>
        <d v="2025-08-26T00:00:00"/>
        <d v="2025-07-06T00:00:00"/>
        <d v="2025-01-06T00:00:00"/>
        <d v="2024-10-11T00:00:00"/>
        <d v="2025-11-27T00:00:00"/>
        <d v="2024-02-02T00:00:00"/>
        <d v="2024-12-12T00:00:00"/>
        <d v="2025-05-10T00:00:00"/>
        <d v="2024-06-12T00:00:00"/>
        <d v="2025-12-19T00:00:00"/>
        <d v="2024-06-03T00:00:00"/>
        <d v="2025-07-28T00:00:00"/>
        <d v="2024-09-03T00:00:00"/>
        <d v="2025-08-25T00:00:00"/>
        <d v="2025-06-03T00:00:00"/>
        <d v="2024-05-22T00:00:00"/>
        <d v="2025-05-01T00:00:00"/>
        <d v="2024-03-08T00:00:00"/>
        <d v="2024-03-21T00:00:00"/>
        <d v="2024-09-27T00:00:00"/>
        <d v="2025-08-27T00:00:00"/>
        <d v="2025-04-18T00:00:00"/>
        <d v="2025-09-03T00:00:00"/>
        <d v="2025-09-02T00:00:00"/>
        <d v="2025-06-25T00:00:00"/>
        <d v="2025-02-14T00:00:00"/>
        <d v="2024-03-12T00:00:00"/>
        <d v="2024-02-14T00:00:00"/>
        <d v="2024-12-14T00:00:00"/>
        <d v="2024-06-14T00:00:00"/>
        <d v="2024-06-10T00:00:00"/>
        <d v="2025-04-14T00:00:00"/>
        <d v="2024-08-22T00:00:00"/>
        <d v="2024-08-31T00:00:00"/>
        <d v="2025-11-06T00:00:00"/>
        <d v="2024-04-14T00:00:00"/>
        <d v="2024-08-21T00:00:00"/>
        <d v="2024-07-22T00:00:00"/>
        <d v="2024-03-11T00:00:00"/>
        <d v="2025-12-02T00:00:00"/>
        <d v="2025-01-25T00:00:00"/>
        <d v="2025-06-24T00:00:00"/>
        <d v="2024-03-22T00:00:00"/>
        <d v="2025-03-08T00:00:00"/>
        <d v="2024-09-09T00:00:00"/>
        <d v="2024-08-16T00:00:00"/>
        <d v="2024-10-01T00:00:00"/>
        <d v="2025-07-12T00:00:00"/>
        <d v="2025-01-23T00:00:00"/>
        <d v="2025-05-26T00:00:00"/>
        <d v="2025-06-07T00:00:00"/>
        <d v="2024-10-12T00:00:00"/>
        <d v="2025-05-27T00:00:00"/>
        <d v="2024-05-26T00:00:00"/>
        <d v="2025-03-06T00:00:00"/>
        <d v="2024-11-15T00:00:00"/>
        <d v="2025-02-09T00:00:00"/>
        <d v="2024-04-18T00:00:00"/>
        <d v="2024-08-18T00:00:00"/>
        <d v="2024-09-30T00:00:00"/>
        <d v="2025-02-12T00:00:00"/>
        <d v="2025-10-27T00:00:00"/>
        <d v="2024-10-27T00:00:00"/>
        <d v="2025-09-10T00:00:00"/>
        <d v="2025-03-07T00:00:00"/>
        <d v="2024-11-18T00:00:00"/>
        <d v="2025-07-19T00:00:00"/>
        <d v="2024-01-22T00:00:00"/>
        <d v="2025-09-13T00:00:00"/>
        <d v="2024-05-21T00:00:00"/>
        <d v="2024-01-11T00:00:00"/>
        <d v="2024-05-03T00:00:00"/>
        <d v="2025-10-12T00:00:00"/>
        <d v="2024-01-07T00:00:00"/>
        <d v="2025-11-08T00:00:00"/>
        <d v="2024-02-29T00:00:00"/>
        <d v="2025-04-24T00:00:00"/>
        <d v="2025-01-22T00:00:00"/>
        <d v="2024-06-24T00:00:00"/>
        <d v="2025-09-05T00:00:00"/>
        <d v="2024-01-26T00:00:00"/>
        <d v="2024-10-03T00:00:00"/>
        <d v="2024-08-23T00:00:00"/>
        <d v="2024-09-28T00:00:00"/>
        <d v="2024-09-26T00:00:00"/>
        <d v="2024-09-07T00:00:00"/>
        <d v="2025-06-10T00:00:00"/>
        <d v="2024-07-01T00:00:00"/>
        <d v="2025-10-02T00:00:00"/>
        <d v="2025-08-14T00:00:00"/>
        <d v="2025-08-20T00:00:00"/>
        <d v="2024-01-01T00:00:00"/>
        <d v="2024-12-04T00:00:00"/>
        <d v="2025-09-25T00:00:00"/>
        <d v="2025-12-07T00:00:00"/>
        <d v="2025-11-17T00:00:00"/>
        <d v="2025-01-05T00:00:00"/>
        <d v="2024-03-01T00:00:00"/>
        <d v="2024-08-13T00:00:00"/>
        <d v="2025-08-03T00:00:00"/>
        <d v="2024-06-05T00:00:00"/>
        <d v="2024-08-26T00:00:00"/>
        <d v="2025-03-14T00:00:00"/>
        <d v="2024-04-27T00:00:00"/>
        <d v="2024-05-07T00:00:00"/>
        <d v="2024-03-13T00:00:00"/>
        <d v="2025-12-15T00:00:00"/>
        <d v="2025-04-04T00:00:00"/>
        <d v="2024-08-11T00:00:00"/>
        <d v="2024-04-22T00:00:00"/>
        <d v="2024-04-04T00:00:00"/>
        <d v="2024-03-28T00:00:00"/>
        <d v="2024-09-14T00:00:00"/>
        <d v="2025-08-07T00:00:00"/>
        <d v="2024-04-24T00:00:00"/>
        <d v="2025-01-14T00:00:00"/>
        <d v="2025-10-08T00:00:00"/>
        <d v="2025-07-21T00:00:00"/>
        <d v="2024-01-12T00:00:00"/>
        <d v="2025-01-17T00:00:00"/>
        <d v="2024-04-09T00:00:00"/>
        <d v="2025-11-23T00:00:00"/>
        <d v="2024-01-31T00:00:00"/>
        <d v="2025-01-29T00:00:00"/>
        <d v="2024-08-04T00:00:00"/>
        <d v="2025-07-03T00:00:00"/>
        <d v="2025-11-18T00:00:00"/>
        <d v="2024-03-10T00:00:00"/>
        <d v="2024-07-24T00:00:00"/>
        <d v="2024-06-16T00:00:00"/>
        <d v="2025-11-16T00:00:00"/>
        <d v="2025-04-07T00:00:00"/>
        <d v="2025-03-24T00:00:00"/>
        <d v="2024-02-18T00:00:00"/>
        <d v="2024-11-27T00:00:00"/>
        <d v="2025-08-21T00:00:00"/>
        <d v="2024-10-08T00:00:00"/>
        <d v="2025-08-09T00:00:00"/>
        <d v="2024-12-10T00:00:00"/>
        <d v="2024-06-15T00:00:00"/>
        <d v="2024-04-05T00:00:00"/>
        <d v="2024-08-06T00:00:00"/>
        <d v="2024-03-30T00:00:00"/>
        <d v="2024-04-13T00:00:00"/>
        <d v="2025-03-21T00:00:00"/>
        <d v="2025-12-31T00:00:00"/>
        <d v="2024-05-15T00:00:00"/>
        <d v="2024-01-08T00:00:00"/>
        <d v="2024-01-04T00:00:00"/>
        <d v="2025-06-30T00:00:00"/>
        <d v="2025-11-29T00:00:00"/>
        <d v="2025-05-06T00:00:00"/>
        <d v="2024-02-09T00:00:00"/>
        <d v="2025-04-15T00:00:00"/>
        <d v="2025-05-20T00:00:00"/>
        <d v="2025-08-13T00:00:00"/>
        <d v="2024-10-23T00:00:00"/>
        <d v="2025-01-02T00:00:00"/>
        <d v="2024-04-08T00:00:00"/>
        <d v="2024-09-10T00:00:00"/>
        <d v="2024-11-19T00:00:00"/>
        <d v="2024-02-16T00:00:00"/>
        <d v="2025-05-15T00:00:00"/>
        <d v="2025-10-25T00:00:00"/>
        <d v="2025-02-11T00:00:00"/>
        <d v="2025-12-22T00:00:00"/>
      </sharedItems>
      <fieldGroup par="7"/>
    </cacheField>
    <cacheField name="Months (Date)" numFmtId="0" databaseField="0">
      <fieldGroup base="4">
        <rangePr groupBy="months" startDate="2024-01-01T00:00:00" endDate="2026-01-01T00:00:00"/>
        <groupItems count="14">
          <s v="&lt;01/01/2024"/>
          <s v="Jan"/>
          <s v="Feb"/>
          <s v="Mar"/>
          <s v="Apr"/>
          <s v="May"/>
          <s v="Jun"/>
          <s v="Jul"/>
          <s v="Aug"/>
          <s v="Sept"/>
          <s v="Oct"/>
          <s v="Nov"/>
          <s v="Dec"/>
          <s v="&gt;01/01/2026"/>
        </groupItems>
      </fieldGroup>
    </cacheField>
    <cacheField name="Quarters (Date)" numFmtId="0" databaseField="0">
      <fieldGroup base="4">
        <rangePr groupBy="quarters" startDate="2024-01-01T00:00:00" endDate="2026-01-01T00:00:00"/>
        <groupItems count="6">
          <s v="&lt;01/01/2024"/>
          <s v="Qtr1"/>
          <s v="Qtr2"/>
          <s v="Qtr3"/>
          <s v="Qtr4"/>
          <s v="&gt;01/01/2026"/>
        </groupItems>
      </fieldGroup>
    </cacheField>
    <cacheField name="Years (Date)" numFmtId="0" databaseField="0">
      <fieldGroup base="4">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203811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n v="7409657"/>
    <n v="6271336"/>
    <n v="1138321"/>
    <x v="0"/>
  </r>
  <r>
    <x v="0"/>
    <n v="7409657"/>
    <n v="6271336"/>
    <n v="1138321"/>
    <x v="1"/>
  </r>
  <r>
    <x v="0"/>
    <n v="7409657"/>
    <n v="6271336"/>
    <n v="1138321"/>
    <x v="2"/>
  </r>
  <r>
    <x v="0"/>
    <n v="7409657"/>
    <n v="6271336"/>
    <n v="1138321"/>
    <x v="3"/>
  </r>
  <r>
    <x v="0"/>
    <n v="9814492"/>
    <n v="5074629"/>
    <n v="4739863"/>
    <x v="4"/>
  </r>
  <r>
    <x v="1"/>
    <n v="13395142"/>
    <n v="3866714"/>
    <n v="9528428"/>
    <x v="5"/>
  </r>
  <r>
    <x v="1"/>
    <n v="13395142"/>
    <n v="3866714"/>
    <n v="9528428"/>
    <x v="6"/>
  </r>
  <r>
    <x v="1"/>
    <n v="13395142"/>
    <n v="3866714"/>
    <n v="9528428"/>
    <x v="7"/>
  </r>
  <r>
    <x v="0"/>
    <n v="7684666"/>
    <n v="5053533"/>
    <n v="2631133"/>
    <x v="8"/>
  </r>
  <r>
    <x v="1"/>
    <n v="13395811"/>
    <n v="8109917"/>
    <n v="5285894"/>
    <x v="9"/>
  </r>
  <r>
    <x v="1"/>
    <n v="13395811"/>
    <n v="8109917"/>
    <n v="5285894"/>
    <x v="10"/>
  </r>
  <r>
    <x v="1"/>
    <n v="13395811"/>
    <n v="8109917"/>
    <n v="5285894"/>
    <x v="11"/>
  </r>
  <r>
    <x v="0"/>
    <n v="7684666"/>
    <n v="5053533"/>
    <n v="2631133"/>
    <x v="12"/>
  </r>
  <r>
    <x v="0"/>
    <n v="9869633"/>
    <n v="8708702"/>
    <n v="1160931"/>
    <x v="13"/>
  </r>
  <r>
    <x v="0"/>
    <n v="9869633"/>
    <n v="8708702"/>
    <n v="1160931"/>
    <x v="14"/>
  </r>
  <r>
    <x v="0"/>
    <n v="5297234"/>
    <n v="3596622"/>
    <n v="1700612"/>
    <x v="15"/>
  </r>
  <r>
    <x v="1"/>
    <n v="9406634"/>
    <n v="1310092"/>
    <n v="8096542"/>
    <x v="16"/>
  </r>
  <r>
    <x v="0"/>
    <n v="5297234"/>
    <n v="3596622"/>
    <n v="1700612"/>
    <x v="17"/>
  </r>
  <r>
    <x v="1"/>
    <n v="9406634"/>
    <n v="1310092"/>
    <n v="8096542"/>
    <x v="18"/>
  </r>
  <r>
    <x v="1"/>
    <n v="9406634"/>
    <n v="1310092"/>
    <n v="8096542"/>
    <x v="19"/>
  </r>
  <r>
    <x v="1"/>
    <n v="9166769"/>
    <n v="7049977"/>
    <n v="2116792"/>
    <x v="20"/>
  </r>
  <r>
    <x v="0"/>
    <n v="10887632"/>
    <n v="3314932"/>
    <n v="7572700"/>
    <x v="21"/>
  </r>
  <r>
    <x v="1"/>
    <n v="9166769"/>
    <n v="7049977"/>
    <n v="2116792"/>
    <x v="22"/>
  </r>
  <r>
    <x v="0"/>
    <n v="10887632"/>
    <n v="3314932"/>
    <n v="7572700"/>
    <x v="23"/>
  </r>
  <r>
    <x v="1"/>
    <n v="9166769"/>
    <n v="7049977"/>
    <n v="2116792"/>
    <x v="24"/>
  </r>
  <r>
    <x v="1"/>
    <n v="9166769"/>
    <n v="7049977"/>
    <n v="2116792"/>
    <x v="25"/>
  </r>
  <r>
    <x v="1"/>
    <n v="6659621"/>
    <n v="5718412"/>
    <n v="941209"/>
    <x v="26"/>
  </r>
  <r>
    <x v="0"/>
    <n v="7713630"/>
    <n v="1832250"/>
    <n v="5881380"/>
    <x v="27"/>
  </r>
  <r>
    <x v="0"/>
    <n v="7713630"/>
    <n v="1832250"/>
    <n v="5881380"/>
    <x v="28"/>
  </r>
  <r>
    <x v="0"/>
    <n v="7713630"/>
    <n v="1832250"/>
    <n v="5881380"/>
    <x v="29"/>
  </r>
  <r>
    <x v="1"/>
    <n v="6659621"/>
    <n v="5718412"/>
    <n v="941209"/>
    <x v="30"/>
  </r>
  <r>
    <x v="1"/>
    <n v="10655734"/>
    <n v="2408508"/>
    <n v="8247226"/>
    <x v="2"/>
  </r>
  <r>
    <x v="0"/>
    <n v="6629660"/>
    <n v="3523400"/>
    <n v="3106260"/>
    <x v="2"/>
  </r>
  <r>
    <x v="1"/>
    <n v="10655734"/>
    <n v="2408508"/>
    <n v="8247226"/>
    <x v="31"/>
  </r>
  <r>
    <x v="2"/>
    <n v="12433378"/>
    <n v="3398230"/>
    <n v="9035148"/>
    <x v="32"/>
  </r>
  <r>
    <x v="1"/>
    <n v="12433378"/>
    <n v="3398230"/>
    <n v="9035148"/>
    <x v="2"/>
  </r>
  <r>
    <x v="1"/>
    <n v="12433378"/>
    <n v="3398230"/>
    <n v="9035148"/>
    <x v="33"/>
  </r>
  <r>
    <x v="1"/>
    <n v="12433378"/>
    <n v="3398230"/>
    <n v="9035148"/>
    <x v="7"/>
  </r>
  <r>
    <x v="1"/>
    <n v="8925622"/>
    <n v="7859625"/>
    <n v="1065997"/>
    <x v="34"/>
  </r>
  <r>
    <x v="0"/>
    <n v="3115955"/>
    <n v="2888010"/>
    <n v="227945"/>
    <x v="35"/>
  </r>
  <r>
    <x v="0"/>
    <n v="3115955"/>
    <n v="2888010"/>
    <n v="227945"/>
    <x v="36"/>
  </r>
  <r>
    <x v="0"/>
    <n v="3115955"/>
    <n v="2888010"/>
    <n v="227945"/>
    <x v="37"/>
  </r>
  <r>
    <x v="1"/>
    <n v="8925622"/>
    <n v="7859625"/>
    <n v="1065997"/>
    <x v="38"/>
  </r>
  <r>
    <x v="0"/>
    <n v="2093322"/>
    <n v="846252"/>
    <n v="1247070"/>
    <x v="2"/>
  </r>
  <r>
    <x v="0"/>
    <n v="2093322"/>
    <n v="846252"/>
    <n v="1247070"/>
    <x v="39"/>
  </r>
  <r>
    <x v="0"/>
    <n v="2093322"/>
    <n v="846252"/>
    <n v="1247070"/>
    <x v="40"/>
  </r>
  <r>
    <x v="1"/>
    <n v="13243123"/>
    <n v="5468428"/>
    <n v="7774695"/>
    <x v="2"/>
  </r>
  <r>
    <x v="1"/>
    <n v="13243123"/>
    <n v="5468428"/>
    <n v="7774695"/>
    <x v="41"/>
  </r>
  <r>
    <x v="1"/>
    <n v="13243123"/>
    <n v="5468428"/>
    <n v="7774695"/>
    <x v="42"/>
  </r>
  <r>
    <x v="0"/>
    <n v="10932582"/>
    <n v="9516586"/>
    <n v="1415996"/>
    <x v="43"/>
  </r>
  <r>
    <x v="0"/>
    <n v="10932582"/>
    <n v="9516586"/>
    <n v="1415996"/>
    <x v="44"/>
  </r>
  <r>
    <x v="1"/>
    <n v="17772619"/>
    <n v="3751148"/>
    <n v="14021471"/>
    <x v="2"/>
  </r>
  <r>
    <x v="1"/>
    <n v="17772619"/>
    <n v="3751148"/>
    <n v="14021471"/>
    <x v="45"/>
  </r>
  <r>
    <x v="0"/>
    <n v="10932582"/>
    <n v="9516586"/>
    <n v="1415996"/>
    <x v="2"/>
  </r>
  <r>
    <x v="0"/>
    <n v="6629660"/>
    <n v="3523400"/>
    <n v="3106260"/>
    <x v="46"/>
  </r>
  <r>
    <x v="0"/>
    <n v="9814492"/>
    <n v="5074629"/>
    <n v="4739863"/>
    <x v="47"/>
  </r>
  <r>
    <x v="1"/>
    <n v="6659621"/>
    <n v="5718412"/>
    <n v="941209"/>
    <x v="35"/>
  </r>
  <r>
    <x v="0"/>
    <n v="6641746"/>
    <n v="2466037"/>
    <n v="4175709"/>
    <x v="48"/>
  </r>
  <r>
    <x v="1"/>
    <n v="13395811"/>
    <n v="8109917"/>
    <n v="5285894"/>
    <x v="49"/>
  </r>
  <r>
    <x v="1"/>
    <n v="12433378"/>
    <n v="3398230"/>
    <n v="9035148"/>
    <x v="50"/>
  </r>
  <r>
    <x v="0"/>
    <n v="7684666"/>
    <n v="5053533"/>
    <n v="2631133"/>
    <x v="51"/>
  </r>
  <r>
    <x v="1"/>
    <n v="17872796"/>
    <n v="4065021"/>
    <n v="13807775"/>
    <x v="52"/>
  </r>
  <r>
    <x v="1"/>
    <n v="17772619"/>
    <n v="3751148"/>
    <n v="14021471"/>
    <x v="53"/>
  </r>
  <r>
    <x v="1"/>
    <n v="12433378"/>
    <n v="3398230"/>
    <n v="9035148"/>
    <x v="54"/>
  </r>
  <r>
    <x v="0"/>
    <n v="5297234"/>
    <n v="3596622"/>
    <n v="1700612"/>
    <x v="55"/>
  </r>
  <r>
    <x v="0"/>
    <n v="6629660"/>
    <n v="3523400"/>
    <n v="3106260"/>
    <x v="56"/>
  </r>
  <r>
    <x v="0"/>
    <n v="6629660"/>
    <n v="3523400"/>
    <n v="3106260"/>
    <x v="57"/>
  </r>
  <r>
    <x v="1"/>
    <n v="13395142"/>
    <n v="3866714"/>
    <n v="9528428"/>
    <x v="58"/>
  </r>
  <r>
    <x v="1"/>
    <n v="6659621"/>
    <n v="5718412"/>
    <n v="941209"/>
    <x v="59"/>
  </r>
  <r>
    <x v="0"/>
    <n v="5297234"/>
    <n v="3596622"/>
    <n v="1700612"/>
    <x v="60"/>
  </r>
  <r>
    <x v="0"/>
    <n v="10887632"/>
    <n v="3314932"/>
    <n v="7572700"/>
    <x v="61"/>
  </r>
  <r>
    <x v="1"/>
    <n v="9166769"/>
    <n v="7049977"/>
    <n v="2116792"/>
    <x v="62"/>
  </r>
  <r>
    <x v="1"/>
    <n v="13395811"/>
    <n v="8109917"/>
    <n v="5285894"/>
    <x v="63"/>
  </r>
  <r>
    <x v="1"/>
    <n v="13395811"/>
    <n v="8109917"/>
    <n v="5285894"/>
    <x v="64"/>
  </r>
  <r>
    <x v="0"/>
    <n v="10932582"/>
    <n v="9516586"/>
    <n v="1415996"/>
    <x v="65"/>
  </r>
  <r>
    <x v="1"/>
    <n v="17772619"/>
    <n v="3751148"/>
    <n v="14021471"/>
    <x v="66"/>
  </r>
  <r>
    <x v="0"/>
    <n v="6629660"/>
    <n v="3523400"/>
    <n v="3106260"/>
    <x v="67"/>
  </r>
  <r>
    <x v="1"/>
    <n v="10422659"/>
    <n v="8777125"/>
    <n v="1645534"/>
    <x v="2"/>
  </r>
  <r>
    <x v="1"/>
    <n v="13243123"/>
    <n v="5468428"/>
    <n v="7774695"/>
    <x v="68"/>
  </r>
  <r>
    <x v="0"/>
    <n v="10932582"/>
    <n v="9516586"/>
    <n v="1415996"/>
    <x v="18"/>
  </r>
  <r>
    <x v="0"/>
    <n v="10932582"/>
    <n v="9516586"/>
    <n v="1415996"/>
    <x v="69"/>
  </r>
  <r>
    <x v="1"/>
    <n v="17872796"/>
    <n v="4065021"/>
    <n v="13807775"/>
    <x v="10"/>
  </r>
  <r>
    <x v="1"/>
    <n v="6659621"/>
    <n v="5718412"/>
    <n v="941209"/>
    <x v="29"/>
  </r>
  <r>
    <x v="1"/>
    <n v="9166769"/>
    <n v="7049977"/>
    <n v="2116792"/>
    <x v="70"/>
  </r>
  <r>
    <x v="1"/>
    <n v="8925622"/>
    <n v="7859625"/>
    <n v="1065997"/>
    <x v="71"/>
  </r>
  <r>
    <x v="0"/>
    <n v="5297234"/>
    <n v="3596622"/>
    <n v="1700612"/>
    <x v="72"/>
  </r>
  <r>
    <x v="0"/>
    <n v="6641746"/>
    <n v="2466037"/>
    <n v="4175709"/>
    <x v="73"/>
  </r>
  <r>
    <x v="1"/>
    <n v="9166769"/>
    <n v="7049977"/>
    <n v="2116792"/>
    <x v="43"/>
  </r>
  <r>
    <x v="0"/>
    <n v="5297234"/>
    <n v="3596622"/>
    <n v="1700612"/>
    <x v="74"/>
  </r>
  <r>
    <x v="1"/>
    <n v="9406634"/>
    <n v="1310092"/>
    <n v="8096542"/>
    <x v="2"/>
  </r>
  <r>
    <x v="2"/>
    <n v="8925622"/>
    <n v="7859625"/>
    <n v="1065997"/>
    <x v="72"/>
  </r>
  <r>
    <x v="1"/>
    <n v="8925622"/>
    <n v="7859625"/>
    <n v="1065997"/>
    <x v="75"/>
  </r>
  <r>
    <x v="1"/>
    <n v="13395811"/>
    <n v="8109917"/>
    <n v="5285894"/>
    <x v="76"/>
  </r>
  <r>
    <x v="0"/>
    <n v="6641746"/>
    <n v="2466037"/>
    <n v="4175709"/>
    <x v="77"/>
  </r>
  <r>
    <x v="0"/>
    <n v="6641746"/>
    <n v="2466037"/>
    <n v="4175709"/>
    <x v="78"/>
  </r>
  <r>
    <x v="1"/>
    <n v="10422659"/>
    <n v="8777125"/>
    <n v="1645534"/>
    <x v="79"/>
  </r>
  <r>
    <x v="0"/>
    <n v="6629660"/>
    <n v="3523400"/>
    <n v="3106260"/>
    <x v="80"/>
  </r>
  <r>
    <x v="0"/>
    <n v="10887632"/>
    <n v="3314932"/>
    <n v="7572700"/>
    <x v="81"/>
  </r>
  <r>
    <x v="1"/>
    <n v="10655734"/>
    <n v="2408508"/>
    <n v="8247226"/>
    <x v="41"/>
  </r>
  <r>
    <x v="0"/>
    <n v="10932582"/>
    <n v="9516586"/>
    <n v="1415996"/>
    <x v="82"/>
  </r>
  <r>
    <x v="1"/>
    <n v="8925622"/>
    <n v="7859625"/>
    <n v="1065997"/>
    <x v="2"/>
  </r>
  <r>
    <x v="1"/>
    <n v="9166769"/>
    <n v="7049977"/>
    <n v="2116792"/>
    <x v="83"/>
  </r>
  <r>
    <x v="1"/>
    <n v="13243123"/>
    <n v="5468428"/>
    <n v="7774695"/>
    <x v="84"/>
  </r>
  <r>
    <x v="0"/>
    <n v="5297234"/>
    <n v="3596622"/>
    <n v="1700612"/>
    <x v="2"/>
  </r>
  <r>
    <x v="0"/>
    <n v="6641746"/>
    <n v="2466037"/>
    <n v="4175709"/>
    <x v="85"/>
  </r>
  <r>
    <x v="1"/>
    <n v="9406634"/>
    <n v="1310092"/>
    <n v="8096542"/>
    <x v="2"/>
  </r>
  <r>
    <x v="0"/>
    <n v="2093322"/>
    <n v="846252"/>
    <n v="1247070"/>
    <x v="68"/>
  </r>
  <r>
    <x v="0"/>
    <n v="2093322"/>
    <n v="846252"/>
    <n v="1247070"/>
    <x v="86"/>
  </r>
  <r>
    <x v="0"/>
    <n v="7684666"/>
    <n v="5053533"/>
    <n v="2631133"/>
    <x v="87"/>
  </r>
  <r>
    <x v="0"/>
    <n v="2093322"/>
    <n v="846252"/>
    <n v="1247070"/>
    <x v="88"/>
  </r>
  <r>
    <x v="1"/>
    <n v="8925622"/>
    <n v="7859625"/>
    <n v="1065997"/>
    <x v="89"/>
  </r>
  <r>
    <x v="0"/>
    <n v="7713630"/>
    <n v="1832250"/>
    <n v="5881380"/>
    <x v="2"/>
  </r>
  <r>
    <x v="0"/>
    <n v="9814492"/>
    <n v="5074629"/>
    <n v="4739863"/>
    <x v="90"/>
  </r>
  <r>
    <x v="1"/>
    <n v="6659621"/>
    <n v="5718412"/>
    <n v="941209"/>
    <x v="91"/>
  </r>
  <r>
    <x v="1"/>
    <n v="12433378"/>
    <n v="3398230"/>
    <n v="9035148"/>
    <x v="92"/>
  </r>
  <r>
    <x v="0"/>
    <n v="7409657"/>
    <n v="6271336"/>
    <n v="1138321"/>
    <x v="93"/>
  </r>
  <r>
    <x v="1"/>
    <n v="8925622"/>
    <n v="7859625"/>
    <n v="1065997"/>
    <x v="94"/>
  </r>
  <r>
    <x v="0"/>
    <n v="7409657"/>
    <n v="6271336"/>
    <n v="1138321"/>
    <x v="28"/>
  </r>
  <r>
    <x v="1"/>
    <n v="13395142"/>
    <n v="3866714"/>
    <n v="9528428"/>
    <x v="95"/>
  </r>
  <r>
    <x v="1"/>
    <n v="10422659"/>
    <n v="8777125"/>
    <n v="1645534"/>
    <x v="96"/>
  </r>
  <r>
    <x v="1"/>
    <n v="13395142"/>
    <n v="3866714"/>
    <n v="9528428"/>
    <x v="97"/>
  </r>
  <r>
    <x v="1"/>
    <n v="10655734"/>
    <n v="2408508"/>
    <n v="8247226"/>
    <x v="98"/>
  </r>
  <r>
    <x v="0"/>
    <n v="5297234"/>
    <n v="3596622"/>
    <n v="1700612"/>
    <x v="99"/>
  </r>
  <r>
    <x v="0"/>
    <n v="3115955"/>
    <n v="2888010"/>
    <n v="227945"/>
    <x v="30"/>
  </r>
  <r>
    <x v="0"/>
    <n v="6641746"/>
    <n v="2466037"/>
    <n v="4175709"/>
    <x v="100"/>
  </r>
  <r>
    <x v="1"/>
    <n v="13395142"/>
    <n v="3866714"/>
    <n v="9528428"/>
    <x v="101"/>
  </r>
  <r>
    <x v="1"/>
    <n v="13395142"/>
    <n v="3866714"/>
    <n v="9528428"/>
    <x v="2"/>
  </r>
  <r>
    <x v="1"/>
    <n v="9406634"/>
    <n v="1310092"/>
    <n v="8096542"/>
    <x v="102"/>
  </r>
  <r>
    <x v="0"/>
    <n v="9869633"/>
    <n v="8708702"/>
    <n v="1160931"/>
    <x v="103"/>
  </r>
  <r>
    <x v="1"/>
    <n v="17872796"/>
    <n v="4065021"/>
    <n v="13807775"/>
    <x v="23"/>
  </r>
  <r>
    <x v="0"/>
    <n v="7409657"/>
    <n v="6271336"/>
    <n v="1138321"/>
    <x v="104"/>
  </r>
  <r>
    <x v="1"/>
    <n v="13395811"/>
    <n v="8109917"/>
    <n v="5285894"/>
    <x v="105"/>
  </r>
  <r>
    <x v="0"/>
    <n v="3115955"/>
    <n v="2888010"/>
    <n v="227945"/>
    <x v="106"/>
  </r>
  <r>
    <x v="1"/>
    <n v="17772619"/>
    <n v="3751148"/>
    <n v="14021471"/>
    <x v="107"/>
  </r>
  <r>
    <x v="1"/>
    <n v="13243123"/>
    <n v="5468428"/>
    <n v="7774695"/>
    <x v="108"/>
  </r>
  <r>
    <x v="1"/>
    <n v="13395811"/>
    <n v="8109917"/>
    <n v="5285894"/>
    <x v="109"/>
  </r>
  <r>
    <x v="0"/>
    <n v="10887632"/>
    <n v="3314932"/>
    <n v="7572700"/>
    <x v="110"/>
  </r>
  <r>
    <x v="0"/>
    <n v="3115955"/>
    <n v="2888010"/>
    <n v="227945"/>
    <x v="2"/>
  </r>
  <r>
    <x v="1"/>
    <n v="17872796"/>
    <n v="4065021"/>
    <n v="13807775"/>
    <x v="111"/>
  </r>
  <r>
    <x v="0"/>
    <n v="3115955"/>
    <n v="2888010"/>
    <n v="227945"/>
    <x v="112"/>
  </r>
  <r>
    <x v="1"/>
    <n v="17872796"/>
    <n v="4065021"/>
    <n v="13807775"/>
    <x v="113"/>
  </r>
  <r>
    <x v="1"/>
    <n v="13395142"/>
    <n v="3866714"/>
    <n v="9528428"/>
    <x v="18"/>
  </r>
  <r>
    <x v="1"/>
    <n v="17772619"/>
    <n v="3751148"/>
    <n v="14021471"/>
    <x v="114"/>
  </r>
  <r>
    <x v="1"/>
    <n v="9166769"/>
    <n v="7049977"/>
    <n v="2116792"/>
    <x v="115"/>
  </r>
  <r>
    <x v="1"/>
    <n v="17772619"/>
    <n v="3751148"/>
    <n v="14021471"/>
    <x v="116"/>
  </r>
  <r>
    <x v="0"/>
    <n v="2093322"/>
    <n v="846252"/>
    <n v="1247070"/>
    <x v="117"/>
  </r>
  <r>
    <x v="1"/>
    <n v="8925622"/>
    <n v="7859625"/>
    <n v="1065997"/>
    <x v="118"/>
  </r>
  <r>
    <x v="1"/>
    <n v="13395142"/>
    <n v="3866714"/>
    <n v="9528428"/>
    <x v="119"/>
  </r>
  <r>
    <x v="1"/>
    <n v="10655734"/>
    <n v="2408508"/>
    <n v="8247226"/>
    <x v="120"/>
  </r>
  <r>
    <x v="1"/>
    <n v="10655734"/>
    <n v="2408508"/>
    <n v="8247226"/>
    <x v="121"/>
  </r>
  <r>
    <x v="0"/>
    <n v="10932582"/>
    <n v="9516586"/>
    <n v="1415996"/>
    <x v="28"/>
  </r>
  <r>
    <x v="0"/>
    <n v="7713630"/>
    <n v="1832250"/>
    <n v="5881380"/>
    <x v="122"/>
  </r>
  <r>
    <x v="1"/>
    <n v="6659621"/>
    <n v="5718412"/>
    <n v="941209"/>
    <x v="28"/>
  </r>
  <r>
    <x v="1"/>
    <n v="10422659"/>
    <n v="8777125"/>
    <n v="1645534"/>
    <x v="123"/>
  </r>
  <r>
    <x v="0"/>
    <n v="6629660"/>
    <n v="3523400"/>
    <n v="3106260"/>
    <x v="124"/>
  </r>
  <r>
    <x v="1"/>
    <n v="6659621"/>
    <n v="5718412"/>
    <n v="941209"/>
    <x v="125"/>
  </r>
  <r>
    <x v="0"/>
    <n v="7409657"/>
    <n v="6271336"/>
    <n v="1138321"/>
    <x v="124"/>
  </r>
  <r>
    <x v="0"/>
    <n v="6641746"/>
    <n v="2466037"/>
    <n v="4175709"/>
    <x v="126"/>
  </r>
  <r>
    <x v="0"/>
    <n v="7409657"/>
    <n v="6271336"/>
    <n v="1138321"/>
    <x v="68"/>
  </r>
  <r>
    <x v="1"/>
    <n v="9406634"/>
    <n v="1310092"/>
    <n v="8096542"/>
    <x v="127"/>
  </r>
  <r>
    <x v="1"/>
    <n v="10655734"/>
    <n v="2408508"/>
    <n v="8247226"/>
    <x v="128"/>
  </r>
  <r>
    <x v="1"/>
    <n v="10422659"/>
    <n v="8777125"/>
    <n v="1645534"/>
    <x v="129"/>
  </r>
  <r>
    <x v="0"/>
    <n v="9814492"/>
    <n v="5074629"/>
    <n v="4739863"/>
    <x v="30"/>
  </r>
  <r>
    <x v="0"/>
    <n v="10932582"/>
    <n v="9516586"/>
    <n v="1415996"/>
    <x v="130"/>
  </r>
  <r>
    <x v="1"/>
    <n v="8925622"/>
    <n v="7859625"/>
    <n v="1065997"/>
    <x v="131"/>
  </r>
  <r>
    <x v="1"/>
    <n v="9406634"/>
    <n v="1310092"/>
    <n v="8096542"/>
    <x v="132"/>
  </r>
  <r>
    <x v="0"/>
    <n v="5297234"/>
    <n v="3596622"/>
    <n v="1700612"/>
    <x v="133"/>
  </r>
  <r>
    <x v="0"/>
    <n v="7684666"/>
    <n v="5053533"/>
    <n v="2631133"/>
    <x v="134"/>
  </r>
  <r>
    <x v="1"/>
    <n v="6659621"/>
    <n v="5718412"/>
    <n v="941209"/>
    <x v="2"/>
  </r>
  <r>
    <x v="0"/>
    <n v="10887632"/>
    <n v="3314932"/>
    <n v="7572700"/>
    <x v="135"/>
  </r>
  <r>
    <x v="1"/>
    <n v="17872796"/>
    <n v="4065021"/>
    <n v="13807775"/>
    <x v="136"/>
  </r>
  <r>
    <x v="1"/>
    <n v="17872796"/>
    <n v="4065021"/>
    <n v="13807775"/>
    <x v="2"/>
  </r>
  <r>
    <x v="1"/>
    <n v="10422659"/>
    <n v="8777125"/>
    <n v="1645534"/>
    <x v="137"/>
  </r>
  <r>
    <x v="0"/>
    <n v="2093322"/>
    <n v="846252"/>
    <n v="1247070"/>
    <x v="2"/>
  </r>
  <r>
    <x v="1"/>
    <n v="12433378"/>
    <n v="3398230"/>
    <n v="9035148"/>
    <x v="138"/>
  </r>
  <r>
    <x v="0"/>
    <n v="9814492"/>
    <n v="5074629"/>
    <n v="4739863"/>
    <x v="139"/>
  </r>
  <r>
    <x v="1"/>
    <n v="9406634"/>
    <n v="1310092"/>
    <n v="8096542"/>
    <x v="140"/>
  </r>
  <r>
    <x v="0"/>
    <n v="10887632"/>
    <n v="3314932"/>
    <n v="7572700"/>
    <x v="141"/>
  </r>
  <r>
    <x v="1"/>
    <n v="13243123"/>
    <n v="5468428"/>
    <n v="7774695"/>
    <x v="142"/>
  </r>
  <r>
    <x v="0"/>
    <n v="9869633"/>
    <n v="8708702"/>
    <n v="1160931"/>
    <x v="130"/>
  </r>
  <r>
    <x v="1"/>
    <n v="9166769"/>
    <n v="7049977"/>
    <n v="2116792"/>
    <x v="143"/>
  </r>
  <r>
    <x v="1"/>
    <n v="10655734"/>
    <n v="2408508"/>
    <n v="8247226"/>
    <x v="144"/>
  </r>
  <r>
    <x v="0"/>
    <n v="6629660"/>
    <n v="3523400"/>
    <n v="3106260"/>
    <x v="145"/>
  </r>
  <r>
    <x v="0"/>
    <n v="10887632"/>
    <n v="3314932"/>
    <n v="7572700"/>
    <x v="126"/>
  </r>
  <r>
    <x v="0"/>
    <n v="6641746"/>
    <n v="2466037"/>
    <n v="4175709"/>
    <x v="2"/>
  </r>
  <r>
    <x v="1"/>
    <n v="12433378"/>
    <n v="3398230"/>
    <n v="9035148"/>
    <x v="146"/>
  </r>
  <r>
    <x v="0"/>
    <n v="7684666"/>
    <n v="5053533"/>
    <n v="2631133"/>
    <x v="147"/>
  </r>
  <r>
    <x v="0"/>
    <n v="2093322"/>
    <n v="846252"/>
    <n v="1247070"/>
    <x v="148"/>
  </r>
  <r>
    <x v="1"/>
    <n v="17772619"/>
    <n v="3751148"/>
    <n v="14021471"/>
    <x v="149"/>
  </r>
  <r>
    <x v="1"/>
    <n v="13395811"/>
    <n v="8109917"/>
    <n v="5285894"/>
    <x v="150"/>
  </r>
  <r>
    <x v="0"/>
    <n v="3115955"/>
    <n v="2888010"/>
    <n v="227945"/>
    <x v="151"/>
  </r>
  <r>
    <x v="1"/>
    <n v="6659621"/>
    <n v="5718412"/>
    <n v="941209"/>
    <x v="85"/>
  </r>
  <r>
    <x v="0"/>
    <n v="6641746"/>
    <n v="2466037"/>
    <n v="4175709"/>
    <x v="152"/>
  </r>
  <r>
    <x v="0"/>
    <n v="10887632"/>
    <n v="3314932"/>
    <n v="7572700"/>
    <x v="153"/>
  </r>
  <r>
    <x v="0"/>
    <n v="7713630"/>
    <n v="1832250"/>
    <n v="5881380"/>
    <x v="154"/>
  </r>
  <r>
    <x v="1"/>
    <n v="17872796"/>
    <n v="4065021"/>
    <n v="13807775"/>
    <x v="2"/>
  </r>
  <r>
    <x v="1"/>
    <n v="10422659"/>
    <n v="8777125"/>
    <n v="1645534"/>
    <x v="155"/>
  </r>
  <r>
    <x v="1"/>
    <n v="13395811"/>
    <n v="8109917"/>
    <n v="5285894"/>
    <x v="156"/>
  </r>
  <r>
    <x v="1"/>
    <n v="17872796"/>
    <n v="4065021"/>
    <n v="13807775"/>
    <x v="157"/>
  </r>
  <r>
    <x v="0"/>
    <n v="10887632"/>
    <n v="3314932"/>
    <n v="7572700"/>
    <x v="33"/>
  </r>
  <r>
    <x v="1"/>
    <n v="13243123"/>
    <n v="5468428"/>
    <n v="7774695"/>
    <x v="2"/>
  </r>
  <r>
    <x v="0"/>
    <n v="9814492"/>
    <n v="5074629"/>
    <n v="4739863"/>
    <x v="158"/>
  </r>
  <r>
    <x v="1"/>
    <n v="6659621"/>
    <n v="5718412"/>
    <n v="941209"/>
    <x v="40"/>
  </r>
  <r>
    <x v="1"/>
    <n v="10655734"/>
    <n v="2408508"/>
    <n v="8247226"/>
    <x v="60"/>
  </r>
  <r>
    <x v="0"/>
    <n v="2093322"/>
    <n v="846252"/>
    <n v="1247070"/>
    <x v="62"/>
  </r>
  <r>
    <x v="1"/>
    <n v="10422659"/>
    <n v="8777125"/>
    <n v="1645534"/>
    <x v="2"/>
  </r>
  <r>
    <x v="0"/>
    <n v="9814492"/>
    <n v="5074629"/>
    <n v="4739863"/>
    <x v="159"/>
  </r>
  <r>
    <x v="0"/>
    <n v="7409657"/>
    <n v="6271336"/>
    <n v="1138321"/>
    <x v="38"/>
  </r>
  <r>
    <x v="1"/>
    <n v="12433378"/>
    <n v="3398230"/>
    <n v="9035148"/>
    <x v="84"/>
  </r>
  <r>
    <x v="1"/>
    <n v="10422659"/>
    <n v="8777125"/>
    <n v="1645534"/>
    <x v="160"/>
  </r>
  <r>
    <x v="0"/>
    <n v="7713630"/>
    <n v="1832250"/>
    <n v="5881380"/>
    <x v="2"/>
  </r>
  <r>
    <x v="1"/>
    <n v="17872796"/>
    <n v="4065021"/>
    <n v="13807775"/>
    <x v="34"/>
  </r>
  <r>
    <x v="1"/>
    <n v="9166769"/>
    <n v="7049977"/>
    <n v="2116792"/>
    <x v="57"/>
  </r>
  <r>
    <x v="1"/>
    <n v="10422659"/>
    <n v="8777125"/>
    <n v="1645534"/>
    <x v="161"/>
  </r>
  <r>
    <x v="0"/>
    <n v="6629660"/>
    <n v="3523400"/>
    <n v="3106260"/>
    <x v="162"/>
  </r>
  <r>
    <x v="0"/>
    <n v="9869633"/>
    <n v="8708702"/>
    <n v="1160931"/>
    <x v="163"/>
  </r>
  <r>
    <x v="1"/>
    <n v="10422659"/>
    <n v="8777125"/>
    <n v="1645534"/>
    <x v="164"/>
  </r>
  <r>
    <x v="0"/>
    <n v="9869633"/>
    <n v="8708702"/>
    <n v="1160931"/>
    <x v="165"/>
  </r>
  <r>
    <x v="0"/>
    <n v="9814492"/>
    <n v="5074629"/>
    <n v="4739863"/>
    <x v="166"/>
  </r>
  <r>
    <x v="0"/>
    <n v="3115955"/>
    <n v="2888010"/>
    <n v="227945"/>
    <x v="2"/>
  </r>
  <r>
    <x v="1"/>
    <n v="13243123"/>
    <n v="5468428"/>
    <n v="7774695"/>
    <x v="167"/>
  </r>
  <r>
    <x v="0"/>
    <n v="3115955"/>
    <n v="2888010"/>
    <n v="227945"/>
    <x v="168"/>
  </r>
  <r>
    <x v="0"/>
    <n v="7684666"/>
    <n v="5053533"/>
    <n v="2631133"/>
    <x v="97"/>
  </r>
  <r>
    <x v="0"/>
    <n v="9869633"/>
    <n v="8708702"/>
    <n v="1160931"/>
    <x v="169"/>
  </r>
  <r>
    <x v="0"/>
    <n v="7713630"/>
    <n v="1832250"/>
    <n v="5881380"/>
    <x v="170"/>
  </r>
  <r>
    <x v="1"/>
    <n v="10655734"/>
    <n v="2408508"/>
    <n v="8247226"/>
    <x v="171"/>
  </r>
  <r>
    <x v="0"/>
    <n v="7684666"/>
    <n v="5053533"/>
    <n v="2631133"/>
    <x v="172"/>
  </r>
  <r>
    <x v="1"/>
    <n v="17872796"/>
    <n v="4065021"/>
    <n v="13807775"/>
    <x v="48"/>
  </r>
  <r>
    <x v="0"/>
    <n v="10932582"/>
    <n v="9516586"/>
    <n v="1415996"/>
    <x v="144"/>
  </r>
  <r>
    <x v="0"/>
    <n v="7713630"/>
    <n v="1832250"/>
    <n v="5881380"/>
    <x v="173"/>
  </r>
  <r>
    <x v="0"/>
    <n v="5297234"/>
    <n v="3596622"/>
    <n v="1700612"/>
    <x v="174"/>
  </r>
  <r>
    <x v="1"/>
    <n v="12433378"/>
    <n v="3398230"/>
    <n v="9035148"/>
    <x v="175"/>
  </r>
  <r>
    <x v="1"/>
    <n v="13243123"/>
    <n v="5468428"/>
    <n v="7774695"/>
    <x v="176"/>
  </r>
  <r>
    <x v="0"/>
    <n v="9814492"/>
    <n v="5074629"/>
    <n v="4739863"/>
    <x v="123"/>
  </r>
  <r>
    <x v="0"/>
    <n v="6629660"/>
    <n v="3523400"/>
    <n v="3106260"/>
    <x v="177"/>
  </r>
  <r>
    <x v="1"/>
    <n v="13395142"/>
    <n v="3866714"/>
    <n v="9528428"/>
    <x v="178"/>
  </r>
  <r>
    <x v="1"/>
    <n v="17772619"/>
    <n v="3751148"/>
    <n v="14021471"/>
    <x v="179"/>
  </r>
  <r>
    <x v="1"/>
    <n v="8925622"/>
    <n v="7859625"/>
    <n v="1065997"/>
    <x v="180"/>
  </r>
  <r>
    <x v="0"/>
    <n v="7713630"/>
    <n v="1832250"/>
    <n v="5881380"/>
    <x v="181"/>
  </r>
  <r>
    <x v="0"/>
    <n v="6641746"/>
    <n v="2466037"/>
    <n v="4175709"/>
    <x v="182"/>
  </r>
  <r>
    <x v="0"/>
    <n v="7684666"/>
    <n v="5053533"/>
    <n v="2631133"/>
    <x v="183"/>
  </r>
  <r>
    <x v="1"/>
    <n v="9406634"/>
    <n v="1310092"/>
    <n v="8096542"/>
    <x v="184"/>
  </r>
  <r>
    <x v="1"/>
    <n v="9406634"/>
    <n v="1310092"/>
    <n v="8096542"/>
    <x v="4"/>
  </r>
  <r>
    <x v="0"/>
    <n v="9869633"/>
    <n v="8708702"/>
    <n v="1160931"/>
    <x v="26"/>
  </r>
  <r>
    <x v="1"/>
    <n v="10655734"/>
    <n v="2408508"/>
    <n v="8247226"/>
    <x v="185"/>
  </r>
  <r>
    <x v="0"/>
    <n v="9869633"/>
    <n v="8708702"/>
    <n v="1160931"/>
    <x v="186"/>
  </r>
  <r>
    <x v="0"/>
    <n v="7684666"/>
    <n v="5053533"/>
    <n v="2631133"/>
    <x v="187"/>
  </r>
  <r>
    <x v="1"/>
    <n v="17772619"/>
    <n v="3751148"/>
    <n v="14021471"/>
    <x v="188"/>
  </r>
  <r>
    <x v="0"/>
    <n v="9869633"/>
    <n v="8708702"/>
    <n v="1160931"/>
    <x v="189"/>
  </r>
  <r>
    <x v="0"/>
    <n v="9814492"/>
    <n v="5074629"/>
    <n v="4739863"/>
    <x v="1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 firstHeaderRow="1" firstDataRow="2" firstDataCol="0"/>
  <pivotFields count="8">
    <pivotField showAll="0">
      <items count="4">
        <item x="0"/>
        <item x="2"/>
        <item x="1"/>
        <item t="default"/>
      </items>
    </pivotField>
    <pivotField dataField="1" numFmtId="2" showAll="0"/>
    <pivotField dataField="1" numFmtId="2" showAll="0"/>
    <pivotField dataField="1" numFmtId="2" showAll="0"/>
    <pivotField showAll="0">
      <items count="192">
        <item x="116"/>
        <item x="173"/>
        <item x="98"/>
        <item x="172"/>
        <item x="95"/>
        <item x="143"/>
        <item x="14"/>
        <item x="92"/>
        <item x="105"/>
        <item x="147"/>
        <item x="30"/>
        <item x="177"/>
        <item x="52"/>
        <item x="186"/>
        <item x="158"/>
        <item x="16"/>
        <item x="100"/>
        <item x="122"/>
        <item x="42"/>
        <item x="152"/>
        <item x="63"/>
        <item x="51"/>
        <item x="130"/>
        <item x="3"/>
        <item x="43"/>
        <item x="67"/>
        <item x="136"/>
        <item x="167"/>
        <item x="1"/>
        <item x="135"/>
        <item x="165"/>
        <item x="183"/>
        <item x="145"/>
        <item x="168"/>
        <item x="60"/>
        <item x="82"/>
        <item x="134"/>
        <item x="139"/>
        <item x="128"/>
        <item x="96"/>
        <item x="13"/>
        <item x="129"/>
        <item x="19"/>
        <item x="24"/>
        <item x="171"/>
        <item x="94"/>
        <item x="40"/>
        <item x="78"/>
        <item x="35"/>
        <item x="125"/>
        <item x="55"/>
        <item x="33"/>
        <item x="54"/>
        <item x="164"/>
        <item x="154"/>
        <item x="103"/>
        <item x="112"/>
        <item x="0"/>
        <item x="62"/>
        <item x="153"/>
        <item x="149"/>
        <item x="12"/>
        <item x="166"/>
        <item x="20"/>
        <item x="8"/>
        <item x="133"/>
        <item x="7"/>
        <item x="123"/>
        <item x="70"/>
        <item x="83"/>
        <item x="61"/>
        <item x="57"/>
        <item x="107"/>
        <item x="126"/>
        <item x="58"/>
        <item x="37"/>
        <item x="110"/>
        <item x="69"/>
        <item x="184"/>
        <item x="137"/>
        <item x="109"/>
        <item x="44"/>
        <item x="108"/>
        <item x="84"/>
        <item x="71"/>
        <item x="106"/>
        <item x="161"/>
        <item x="28"/>
        <item x="76"/>
        <item x="181"/>
        <item x="87"/>
        <item x="80"/>
        <item x="90"/>
        <item x="185"/>
        <item x="159"/>
        <item x="117"/>
        <item x="163"/>
        <item x="31"/>
        <item x="53"/>
        <item x="22"/>
        <item x="182"/>
        <item x="121"/>
        <item x="27"/>
        <item x="140"/>
        <item x="144"/>
        <item x="102"/>
        <item x="73"/>
        <item x="65"/>
        <item x="148"/>
        <item x="81"/>
        <item x="189"/>
        <item x="85"/>
        <item x="50"/>
        <item x="11"/>
        <item x="79"/>
        <item x="89"/>
        <item x="68"/>
        <item x="127"/>
        <item x="169"/>
        <item x="157"/>
        <item x="132"/>
        <item x="156"/>
        <item x="23"/>
        <item x="56"/>
        <item x="178"/>
        <item x="46"/>
        <item x="101"/>
        <item x="41"/>
        <item x="176"/>
        <item x="32"/>
        <item x="187"/>
        <item x="179"/>
        <item x="74"/>
        <item x="77"/>
        <item x="21"/>
        <item x="39"/>
        <item x="75"/>
        <item x="111"/>
        <item x="5"/>
        <item x="66"/>
        <item x="49"/>
        <item x="174"/>
        <item x="150"/>
        <item x="6"/>
        <item x="26"/>
        <item x="72"/>
        <item x="91"/>
        <item x="142"/>
        <item x="36"/>
        <item x="9"/>
        <item x="124"/>
        <item x="138"/>
        <item x="162"/>
        <item x="180"/>
        <item x="114"/>
        <item x="115"/>
        <item x="160"/>
        <item x="38"/>
        <item x="25"/>
        <item x="45"/>
        <item x="48"/>
        <item x="47"/>
        <item x="104"/>
        <item x="88"/>
        <item x="93"/>
        <item x="4"/>
        <item x="118"/>
        <item x="113"/>
        <item x="15"/>
        <item x="141"/>
        <item x="97"/>
        <item x="10"/>
        <item x="188"/>
        <item x="86"/>
        <item x="59"/>
        <item x="99"/>
        <item x="155"/>
        <item x="120"/>
        <item x="151"/>
        <item x="146"/>
        <item x="29"/>
        <item x="175"/>
        <item x="64"/>
        <item x="18"/>
        <item x="119"/>
        <item x="131"/>
        <item x="34"/>
        <item x="190"/>
        <item x="17"/>
        <item x="170"/>
        <item x="2"/>
        <item t="default"/>
      </items>
    </pivotField>
    <pivotField showAll="0">
      <items count="15">
        <item h="1"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x="4"/>
        <item t="default"/>
      </items>
    </pivotField>
  </pivotFields>
  <rowItems count="1">
    <i/>
  </rowItems>
  <colFields count="1">
    <field x="-2"/>
  </colFields>
  <colItems count="3">
    <i>
      <x/>
    </i>
    <i i="1">
      <x v="1"/>
    </i>
    <i i="2">
      <x v="2"/>
    </i>
  </colItems>
  <dataFields count="3">
    <dataField name="Sum of Revenue" fld="1" baseField="0" baseItem="0" numFmtId="44"/>
    <dataField name="Sum of Expenses" fld="2" baseField="0" baseItem="0" numFmtId="44"/>
    <dataField name="Sum of Profit" fld="3" baseField="0" baseItem="0" numFmtId="44"/>
  </dataFields>
  <formats count="3">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61348E-285B-4C0C-9AB6-F0459EF62E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6" firstHeaderRow="0" firstDataRow="1" firstDataCol="1"/>
  <pivotFields count="8">
    <pivotField showAll="0">
      <items count="4">
        <item x="0"/>
        <item x="2"/>
        <item x="1"/>
        <item t="default"/>
      </items>
    </pivotField>
    <pivotField dataField="1" numFmtId="2" showAll="0"/>
    <pivotField dataField="1" numFmtId="2" showAll="0"/>
    <pivotField dataField="1" numFmtId="2" showAll="0"/>
    <pivotField axis="axisRow" showAll="0">
      <items count="192">
        <item x="116"/>
        <item x="173"/>
        <item x="98"/>
        <item x="172"/>
        <item x="95"/>
        <item x="143"/>
        <item x="14"/>
        <item x="92"/>
        <item x="105"/>
        <item x="147"/>
        <item x="30"/>
        <item x="177"/>
        <item x="52"/>
        <item x="186"/>
        <item x="158"/>
        <item x="16"/>
        <item x="100"/>
        <item x="122"/>
        <item x="42"/>
        <item x="152"/>
        <item x="63"/>
        <item x="51"/>
        <item x="130"/>
        <item x="3"/>
        <item x="43"/>
        <item x="67"/>
        <item x="136"/>
        <item x="167"/>
        <item x="1"/>
        <item x="135"/>
        <item x="165"/>
        <item x="183"/>
        <item x="145"/>
        <item x="168"/>
        <item x="60"/>
        <item x="82"/>
        <item x="134"/>
        <item x="139"/>
        <item x="128"/>
        <item x="96"/>
        <item x="13"/>
        <item x="129"/>
        <item x="19"/>
        <item x="24"/>
        <item x="171"/>
        <item x="94"/>
        <item x="40"/>
        <item x="78"/>
        <item x="35"/>
        <item x="125"/>
        <item x="55"/>
        <item x="33"/>
        <item x="54"/>
        <item x="164"/>
        <item x="154"/>
        <item x="103"/>
        <item x="112"/>
        <item x="0"/>
        <item x="62"/>
        <item x="153"/>
        <item x="149"/>
        <item x="12"/>
        <item x="166"/>
        <item x="20"/>
        <item x="8"/>
        <item x="133"/>
        <item x="7"/>
        <item x="123"/>
        <item x="70"/>
        <item x="83"/>
        <item x="61"/>
        <item x="57"/>
        <item x="107"/>
        <item x="126"/>
        <item x="58"/>
        <item x="37"/>
        <item x="110"/>
        <item x="69"/>
        <item x="184"/>
        <item x="137"/>
        <item x="109"/>
        <item x="44"/>
        <item x="108"/>
        <item x="84"/>
        <item x="71"/>
        <item x="106"/>
        <item x="161"/>
        <item x="28"/>
        <item x="76"/>
        <item x="181"/>
        <item x="87"/>
        <item x="80"/>
        <item x="90"/>
        <item x="185"/>
        <item x="159"/>
        <item x="117"/>
        <item x="163"/>
        <item x="31"/>
        <item x="53"/>
        <item x="22"/>
        <item x="182"/>
        <item x="121"/>
        <item x="27"/>
        <item x="140"/>
        <item x="144"/>
        <item x="102"/>
        <item x="73"/>
        <item x="65"/>
        <item x="148"/>
        <item x="81"/>
        <item x="189"/>
        <item x="85"/>
        <item x="50"/>
        <item x="11"/>
        <item x="79"/>
        <item x="89"/>
        <item x="68"/>
        <item x="127"/>
        <item x="169"/>
        <item x="157"/>
        <item x="132"/>
        <item x="156"/>
        <item x="23"/>
        <item x="56"/>
        <item x="178"/>
        <item x="46"/>
        <item x="101"/>
        <item x="41"/>
        <item x="176"/>
        <item x="32"/>
        <item x="187"/>
        <item x="179"/>
        <item x="74"/>
        <item x="77"/>
        <item x="21"/>
        <item x="39"/>
        <item x="75"/>
        <item x="111"/>
        <item x="5"/>
        <item x="66"/>
        <item x="49"/>
        <item x="174"/>
        <item x="150"/>
        <item x="6"/>
        <item x="26"/>
        <item x="72"/>
        <item x="91"/>
        <item x="142"/>
        <item x="36"/>
        <item x="9"/>
        <item x="124"/>
        <item x="138"/>
        <item x="162"/>
        <item x="180"/>
        <item x="114"/>
        <item x="115"/>
        <item x="160"/>
        <item x="38"/>
        <item x="25"/>
        <item x="45"/>
        <item x="48"/>
        <item x="47"/>
        <item x="104"/>
        <item x="88"/>
        <item x="93"/>
        <item x="4"/>
        <item x="118"/>
        <item x="113"/>
        <item x="15"/>
        <item x="141"/>
        <item x="97"/>
        <item x="10"/>
        <item x="188"/>
        <item x="86"/>
        <item x="59"/>
        <item x="99"/>
        <item x="155"/>
        <item x="120"/>
        <item x="151"/>
        <item x="146"/>
        <item x="29"/>
        <item x="175"/>
        <item x="64"/>
        <item x="18"/>
        <item x="119"/>
        <item x="131"/>
        <item x="34"/>
        <item x="190"/>
        <item x="17"/>
        <item x="170"/>
        <item x="2"/>
        <item t="default"/>
      </items>
    </pivotField>
    <pivotField axis="axisRow" showAll="0">
      <items count="15">
        <item h="1"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6">
        <item h="1" sd="0" x="0"/>
        <item sd="0" x="1"/>
        <item sd="0" x="2"/>
        <item sd="0" x="3"/>
        <item sd="0" x="4"/>
        <item t="default"/>
      </items>
    </pivotField>
  </pivotFields>
  <rowFields count="2">
    <field x="5"/>
    <field x="4"/>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Revenue" fld="1" baseField="0" baseItem="0" numFmtId="2"/>
    <dataField name="Sum of Expenses" fld="2" baseField="0" baseItem="0" numFmtId="2"/>
    <dataField name="Sum of Profit" fld="3" baseField="0"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2" format="15" series="1">
      <pivotArea type="data" outline="0" fieldPosition="0">
        <references count="1">
          <reference field="4294967294" count="1" selected="0">
            <x v="0"/>
          </reference>
        </references>
      </pivotArea>
    </chartFormat>
    <chartFormat chart="12" format="16" series="1">
      <pivotArea type="data" outline="0" fieldPosition="0">
        <references count="1">
          <reference field="4294967294" count="1" selected="0">
            <x v="1"/>
          </reference>
        </references>
      </pivotArea>
    </chartFormat>
    <chartFormat chart="12"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8">
    <pivotField axis="axisRow" showAll="0">
      <items count="4">
        <item x="0"/>
        <item x="1"/>
        <item x="2"/>
        <item t="default"/>
      </items>
    </pivotField>
    <pivotField dataField="1" numFmtId="2" showAll="0"/>
    <pivotField numFmtId="2" showAll="0"/>
    <pivotField numFmtId="2" showAll="0"/>
    <pivotField showAll="0">
      <items count="192">
        <item x="116"/>
        <item x="173"/>
        <item x="98"/>
        <item x="172"/>
        <item x="95"/>
        <item x="143"/>
        <item x="14"/>
        <item x="92"/>
        <item x="105"/>
        <item x="147"/>
        <item x="30"/>
        <item x="177"/>
        <item x="52"/>
        <item x="186"/>
        <item x="158"/>
        <item x="16"/>
        <item x="100"/>
        <item x="122"/>
        <item x="42"/>
        <item x="152"/>
        <item x="63"/>
        <item x="51"/>
        <item x="130"/>
        <item x="3"/>
        <item x="43"/>
        <item x="67"/>
        <item x="136"/>
        <item x="167"/>
        <item x="1"/>
        <item x="135"/>
        <item x="165"/>
        <item x="183"/>
        <item x="145"/>
        <item x="168"/>
        <item x="60"/>
        <item x="82"/>
        <item x="134"/>
        <item x="139"/>
        <item x="128"/>
        <item x="96"/>
        <item x="13"/>
        <item x="129"/>
        <item x="19"/>
        <item x="24"/>
        <item x="171"/>
        <item x="94"/>
        <item x="40"/>
        <item x="78"/>
        <item x="35"/>
        <item x="125"/>
        <item x="55"/>
        <item x="33"/>
        <item x="54"/>
        <item x="164"/>
        <item x="154"/>
        <item x="103"/>
        <item x="112"/>
        <item x="0"/>
        <item x="62"/>
        <item x="153"/>
        <item x="149"/>
        <item x="12"/>
        <item x="166"/>
        <item x="20"/>
        <item x="8"/>
        <item x="133"/>
        <item x="7"/>
        <item x="123"/>
        <item x="70"/>
        <item x="83"/>
        <item x="61"/>
        <item x="57"/>
        <item x="107"/>
        <item x="126"/>
        <item x="58"/>
        <item x="37"/>
        <item x="110"/>
        <item x="69"/>
        <item x="184"/>
        <item x="137"/>
        <item x="109"/>
        <item x="44"/>
        <item x="108"/>
        <item x="84"/>
        <item x="71"/>
        <item x="106"/>
        <item x="161"/>
        <item x="28"/>
        <item x="76"/>
        <item x="181"/>
        <item x="87"/>
        <item x="80"/>
        <item x="90"/>
        <item x="185"/>
        <item x="159"/>
        <item x="117"/>
        <item x="163"/>
        <item x="31"/>
        <item x="53"/>
        <item x="22"/>
        <item x="182"/>
        <item x="121"/>
        <item x="27"/>
        <item x="140"/>
        <item x="144"/>
        <item x="102"/>
        <item x="73"/>
        <item x="65"/>
        <item x="148"/>
        <item x="81"/>
        <item x="189"/>
        <item x="85"/>
        <item x="50"/>
        <item x="11"/>
        <item x="79"/>
        <item x="89"/>
        <item x="68"/>
        <item x="127"/>
        <item x="169"/>
        <item x="157"/>
        <item x="132"/>
        <item x="156"/>
        <item x="23"/>
        <item x="56"/>
        <item x="178"/>
        <item x="46"/>
        <item x="101"/>
        <item x="41"/>
        <item x="176"/>
        <item x="32"/>
        <item x="187"/>
        <item x="179"/>
        <item x="74"/>
        <item x="77"/>
        <item x="21"/>
        <item x="39"/>
        <item x="75"/>
        <item x="111"/>
        <item x="5"/>
        <item x="66"/>
        <item x="49"/>
        <item x="174"/>
        <item x="150"/>
        <item x="6"/>
        <item x="26"/>
        <item x="72"/>
        <item x="91"/>
        <item x="142"/>
        <item x="36"/>
        <item x="9"/>
        <item x="124"/>
        <item x="138"/>
        <item x="162"/>
        <item x="180"/>
        <item x="114"/>
        <item x="115"/>
        <item x="160"/>
        <item x="38"/>
        <item x="25"/>
        <item x="45"/>
        <item x="48"/>
        <item x="47"/>
        <item x="104"/>
        <item x="88"/>
        <item x="93"/>
        <item x="4"/>
        <item x="118"/>
        <item x="113"/>
        <item x="15"/>
        <item x="141"/>
        <item x="97"/>
        <item x="10"/>
        <item x="188"/>
        <item x="86"/>
        <item x="59"/>
        <item x="99"/>
        <item x="155"/>
        <item x="120"/>
        <item x="151"/>
        <item x="146"/>
        <item x="29"/>
        <item x="175"/>
        <item x="64"/>
        <item x="18"/>
        <item x="119"/>
        <item x="131"/>
        <item x="34"/>
        <item x="190"/>
        <item x="17"/>
        <item x="170"/>
        <item x="2"/>
        <item t="default"/>
      </items>
    </pivotField>
    <pivotField showAll="0">
      <items count="15">
        <item h="1"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x="4"/>
        <item t="default"/>
      </items>
    </pivotField>
  </pivotFields>
  <rowFields count="1">
    <field x="0"/>
  </rowFields>
  <rowItems count="4">
    <i>
      <x/>
    </i>
    <i>
      <x v="1"/>
    </i>
    <i>
      <x v="2"/>
    </i>
    <i t="grand">
      <x/>
    </i>
  </rowItems>
  <colItems count="1">
    <i/>
  </colItems>
  <dataFields count="1">
    <dataField name="Sum of Revenue" fld="1" baseField="0" baseItem="0" numFmtId="2"/>
  </dataFields>
  <formats count="1">
    <format dxfId="7">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7AFD78-30B4-4DC2-83FF-82B41C64F7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6" firstHeaderRow="0" firstDataRow="1" firstDataCol="1"/>
  <pivotFields count="8">
    <pivotField showAll="0">
      <items count="4">
        <item x="0"/>
        <item x="2"/>
        <item x="1"/>
        <item t="default"/>
      </items>
    </pivotField>
    <pivotField dataField="1" numFmtId="2" showAll="0"/>
    <pivotField dataField="1" numFmtId="2" showAll="0"/>
    <pivotField dataField="1" numFmtId="2" showAll="0"/>
    <pivotField showAll="0">
      <items count="192">
        <item x="116"/>
        <item x="173"/>
        <item x="98"/>
        <item x="172"/>
        <item x="95"/>
        <item x="143"/>
        <item x="14"/>
        <item x="92"/>
        <item x="105"/>
        <item x="147"/>
        <item x="30"/>
        <item x="177"/>
        <item x="52"/>
        <item x="186"/>
        <item x="158"/>
        <item x="16"/>
        <item x="100"/>
        <item x="122"/>
        <item x="42"/>
        <item x="152"/>
        <item x="63"/>
        <item x="51"/>
        <item x="130"/>
        <item x="3"/>
        <item x="43"/>
        <item x="67"/>
        <item x="136"/>
        <item x="167"/>
        <item x="1"/>
        <item x="135"/>
        <item x="165"/>
        <item x="183"/>
        <item x="145"/>
        <item x="168"/>
        <item x="60"/>
        <item x="82"/>
        <item x="134"/>
        <item x="139"/>
        <item x="128"/>
        <item x="96"/>
        <item x="13"/>
        <item x="129"/>
        <item x="19"/>
        <item x="24"/>
        <item x="171"/>
        <item x="94"/>
        <item x="40"/>
        <item x="78"/>
        <item x="35"/>
        <item x="125"/>
        <item x="55"/>
        <item x="33"/>
        <item x="54"/>
        <item x="164"/>
        <item x="154"/>
        <item x="103"/>
        <item x="112"/>
        <item x="0"/>
        <item x="62"/>
        <item x="153"/>
        <item x="149"/>
        <item x="12"/>
        <item x="166"/>
        <item x="20"/>
        <item x="8"/>
        <item x="133"/>
        <item x="7"/>
        <item x="123"/>
        <item x="70"/>
        <item x="83"/>
        <item x="61"/>
        <item x="57"/>
        <item x="107"/>
        <item x="126"/>
        <item x="58"/>
        <item x="37"/>
        <item x="110"/>
        <item x="69"/>
        <item x="184"/>
        <item x="137"/>
        <item x="109"/>
        <item x="44"/>
        <item x="108"/>
        <item x="84"/>
        <item x="71"/>
        <item x="106"/>
        <item x="161"/>
        <item x="28"/>
        <item x="76"/>
        <item x="181"/>
        <item x="87"/>
        <item x="80"/>
        <item x="90"/>
        <item x="185"/>
        <item x="159"/>
        <item x="117"/>
        <item x="163"/>
        <item x="31"/>
        <item x="53"/>
        <item x="22"/>
        <item x="182"/>
        <item x="121"/>
        <item x="27"/>
        <item x="140"/>
        <item x="144"/>
        <item x="102"/>
        <item x="73"/>
        <item x="65"/>
        <item x="148"/>
        <item x="81"/>
        <item x="189"/>
        <item x="85"/>
        <item x="50"/>
        <item x="11"/>
        <item x="79"/>
        <item x="89"/>
        <item x="68"/>
        <item x="127"/>
        <item x="169"/>
        <item x="157"/>
        <item x="132"/>
        <item x="156"/>
        <item x="23"/>
        <item x="56"/>
        <item x="178"/>
        <item x="46"/>
        <item x="101"/>
        <item x="41"/>
        <item x="176"/>
        <item x="32"/>
        <item x="187"/>
        <item x="179"/>
        <item x="74"/>
        <item x="77"/>
        <item x="21"/>
        <item x="39"/>
        <item x="75"/>
        <item x="111"/>
        <item x="5"/>
        <item x="66"/>
        <item x="49"/>
        <item x="174"/>
        <item x="150"/>
        <item x="6"/>
        <item x="26"/>
        <item x="72"/>
        <item x="91"/>
        <item x="142"/>
        <item x="36"/>
        <item x="9"/>
        <item x="124"/>
        <item x="138"/>
        <item x="162"/>
        <item x="180"/>
        <item x="114"/>
        <item x="115"/>
        <item x="160"/>
        <item x="38"/>
        <item x="25"/>
        <item x="45"/>
        <item x="48"/>
        <item x="47"/>
        <item x="104"/>
        <item x="88"/>
        <item x="93"/>
        <item x="4"/>
        <item x="118"/>
        <item x="113"/>
        <item x="15"/>
        <item x="141"/>
        <item x="97"/>
        <item x="10"/>
        <item x="188"/>
        <item x="86"/>
        <item x="59"/>
        <item x="99"/>
        <item x="155"/>
        <item x="120"/>
        <item x="151"/>
        <item x="146"/>
        <item x="29"/>
        <item x="175"/>
        <item x="64"/>
        <item x="18"/>
        <item x="119"/>
        <item x="131"/>
        <item x="34"/>
        <item x="190"/>
        <item x="17"/>
        <item x="170"/>
        <item x="2"/>
        <item t="default"/>
      </items>
    </pivotField>
    <pivotField showAll="0" defaultSubtotal="0"/>
    <pivotField showAll="0" defaultSubtotal="0"/>
    <pivotField axis="axisRow" showAll="0" defaultSubtotal="0">
      <items count="5">
        <item h="1" x="0"/>
        <item x="1"/>
        <item x="2"/>
        <item x="3"/>
        <item x="4"/>
      </items>
    </pivotField>
  </pivotFields>
  <rowFields count="1">
    <field x="7"/>
  </rowFields>
  <rowItems count="3">
    <i>
      <x v="1"/>
    </i>
    <i>
      <x v="2"/>
    </i>
    <i t="grand">
      <x/>
    </i>
  </rowItems>
  <colFields count="1">
    <field x="-2"/>
  </colFields>
  <colItems count="3">
    <i>
      <x/>
    </i>
    <i i="1">
      <x v="1"/>
    </i>
    <i i="2">
      <x v="2"/>
    </i>
  </colItems>
  <dataFields count="3">
    <dataField name="Sum of Revenue" fld="1" baseField="0" baseItem="0" numFmtId="2"/>
    <dataField name="Sum of Expenses" fld="2" baseField="0" baseItem="0" numFmtId="2"/>
    <dataField name="Sum of Profit" fld="3" baseField="0" baseItem="0" numFmtId="2"/>
  </dataField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2"/>
          </reference>
          <reference field="7" count="1" selected="0">
            <x v="2"/>
          </reference>
        </references>
      </pivotArea>
    </chartFormat>
    <chartFormat chart="0" format="6">
      <pivotArea type="data" outline="0" fieldPosition="0">
        <references count="2">
          <reference field="4294967294" count="1" selected="0">
            <x v="1"/>
          </reference>
          <reference field="7" count="1" selected="0">
            <x v="2"/>
          </reference>
        </references>
      </pivotArea>
    </chartFormat>
    <chartFormat chart="0" format="7">
      <pivotArea type="data" outline="0" fieldPosition="0">
        <references count="2">
          <reference field="4294967294" count="1" selected="0">
            <x v="2"/>
          </reference>
          <reference field="7" count="1" selected="0">
            <x v="1"/>
          </reference>
        </references>
      </pivotArea>
    </chartFormat>
    <chartFormat chart="0" format="8">
      <pivotArea type="data" outline="0" fieldPosition="0">
        <references count="2">
          <reference field="4294967294" count="1" selected="0">
            <x v="1"/>
          </reference>
          <reference field="7" count="1" selected="0">
            <x v="1"/>
          </reference>
        </references>
      </pivotArea>
    </chartFormat>
    <chartFormat chart="4" format="36" series="1">
      <pivotArea type="data" outline="0" fieldPosition="0">
        <references count="1">
          <reference field="4294967294" count="1" selected="0">
            <x v="0"/>
          </reference>
        </references>
      </pivotArea>
    </chartFormat>
    <chartFormat chart="4" format="37">
      <pivotArea type="data" outline="0" fieldPosition="0">
        <references count="2">
          <reference field="4294967294" count="1" selected="0">
            <x v="0"/>
          </reference>
          <reference field="7" count="1" selected="0">
            <x v="1"/>
          </reference>
        </references>
      </pivotArea>
    </chartFormat>
    <chartFormat chart="4" format="38">
      <pivotArea type="data" outline="0" fieldPosition="0">
        <references count="2">
          <reference field="4294967294" count="1" selected="0">
            <x v="0"/>
          </reference>
          <reference field="7" count="1" selected="0">
            <x v="2"/>
          </reference>
        </references>
      </pivotArea>
    </chartFormat>
    <chartFormat chart="4" format="39" series="1">
      <pivotArea type="data" outline="0" fieldPosition="0">
        <references count="1">
          <reference field="4294967294" count="1" selected="0">
            <x v="1"/>
          </reference>
        </references>
      </pivotArea>
    </chartFormat>
    <chartFormat chart="4" format="40">
      <pivotArea type="data" outline="0" fieldPosition="0">
        <references count="2">
          <reference field="4294967294" count="1" selected="0">
            <x v="1"/>
          </reference>
          <reference field="7" count="1" selected="0">
            <x v="1"/>
          </reference>
        </references>
      </pivotArea>
    </chartFormat>
    <chartFormat chart="4" format="41">
      <pivotArea type="data" outline="0" fieldPosition="0">
        <references count="2">
          <reference field="4294967294" count="1" selected="0">
            <x v="1"/>
          </reference>
          <reference field="7" count="1" selected="0">
            <x v="2"/>
          </reference>
        </references>
      </pivotArea>
    </chartFormat>
    <chartFormat chart="4" format="42" series="1">
      <pivotArea type="data" outline="0" fieldPosition="0">
        <references count="1">
          <reference field="4294967294" count="1" selected="0">
            <x v="2"/>
          </reference>
        </references>
      </pivotArea>
    </chartFormat>
    <chartFormat chart="4" format="43">
      <pivotArea type="data" outline="0" fieldPosition="0">
        <references count="2">
          <reference field="4294967294" count="1" selected="0">
            <x v="2"/>
          </reference>
          <reference field="7" count="1" selected="0">
            <x v="1"/>
          </reference>
        </references>
      </pivotArea>
    </chartFormat>
    <chartFormat chart="4" format="44">
      <pivotArea type="data" outline="0" fieldPosition="0">
        <references count="2">
          <reference field="4294967294" count="1" selected="0">
            <x v="2"/>
          </reference>
          <reference field="7" count="1" selected="0">
            <x v="2"/>
          </reference>
        </references>
      </pivotArea>
    </chartFormat>
    <chartFormat chart="8" format="81" series="1">
      <pivotArea type="data" outline="0" fieldPosition="0">
        <references count="1">
          <reference field="4294967294" count="1" selected="0">
            <x v="0"/>
          </reference>
        </references>
      </pivotArea>
    </chartFormat>
    <chartFormat chart="8" format="82">
      <pivotArea type="data" outline="0" fieldPosition="0">
        <references count="2">
          <reference field="4294967294" count="1" selected="0">
            <x v="0"/>
          </reference>
          <reference field="7" count="1" selected="0">
            <x v="1"/>
          </reference>
        </references>
      </pivotArea>
    </chartFormat>
    <chartFormat chart="8" format="83">
      <pivotArea type="data" outline="0" fieldPosition="0">
        <references count="2">
          <reference field="4294967294" count="1" selected="0">
            <x v="0"/>
          </reference>
          <reference field="7" count="1" selected="0">
            <x v="2"/>
          </reference>
        </references>
      </pivotArea>
    </chartFormat>
    <chartFormat chart="8" format="84" series="1">
      <pivotArea type="data" outline="0" fieldPosition="0">
        <references count="1">
          <reference field="4294967294" count="1" selected="0">
            <x v="1"/>
          </reference>
        </references>
      </pivotArea>
    </chartFormat>
    <chartFormat chart="8" format="85">
      <pivotArea type="data" outline="0" fieldPosition="0">
        <references count="2">
          <reference field="4294967294" count="1" selected="0">
            <x v="1"/>
          </reference>
          <reference field="7" count="1" selected="0">
            <x v="1"/>
          </reference>
        </references>
      </pivotArea>
    </chartFormat>
    <chartFormat chart="8" format="86">
      <pivotArea type="data" outline="0" fieldPosition="0">
        <references count="2">
          <reference field="4294967294" count="1" selected="0">
            <x v="1"/>
          </reference>
          <reference field="7" count="1" selected="0">
            <x v="2"/>
          </reference>
        </references>
      </pivotArea>
    </chartFormat>
    <chartFormat chart="8" format="87" series="1">
      <pivotArea type="data" outline="0" fieldPosition="0">
        <references count="1">
          <reference field="4294967294" count="1" selected="0">
            <x v="2"/>
          </reference>
        </references>
      </pivotArea>
    </chartFormat>
    <chartFormat chart="8" format="88">
      <pivotArea type="data" outline="0" fieldPosition="0">
        <references count="2">
          <reference field="4294967294" count="1" selected="0">
            <x v="2"/>
          </reference>
          <reference field="7" count="1" selected="0">
            <x v="1"/>
          </reference>
        </references>
      </pivotArea>
    </chartFormat>
    <chartFormat chart="8" format="89">
      <pivotArea type="data" outline="0" fieldPosition="0">
        <references count="2">
          <reference field="4294967294" count="1" selected="0">
            <x v="2"/>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FE2CECDB-7DBB-4827-B639-038B5B5EF5C1}" sourceName="Product">
  <pivotTables>
    <pivotTable tabId="3" name="PivotTable14"/>
    <pivotTable tabId="9" name="PivotTable1"/>
    <pivotTable tabId="2" name="PivotTable1"/>
    <pivotTable tabId="11" name="PivotTable2"/>
  </pivotTables>
  <data>
    <tabular pivotCacheId="20381144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4F0E88F-154E-493C-8AB0-EDC3B2EBF50C}" sourceName="Years (Date)">
  <pivotTables>
    <pivotTable tabId="11" name="PivotTable2"/>
    <pivotTable tabId="9" name="PivotTable1"/>
    <pivotTable tabId="2" name="PivotTable1"/>
    <pivotTable tabId="3" name="PivotTable14"/>
  </pivotTables>
  <data>
    <tabular pivotCacheId="203811446">
      <items count="5">
        <i x="0"/>
        <i x="1" s="1"/>
        <i x="2" s="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63FC2F6-E68F-4B3C-86AD-5CD03AF11FF1}" cache="Slicer_Product1" caption="Product"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9B57B525-D3BA-423A-9ED0-7EDA7DB49096}" cache="Slicer_Years__Date" caption="Years (Date)" style="SlicerStyleLight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C888ABF5-2B16-4BFD-BAA7-08225333787A}" cache="Slicer_Product1" caption="Product" columnCount="2" rowHeight="144000"/>
  <slicer name="Years (Date) 2" xr10:uid="{E5714E7D-AAC7-4075-A930-8C35B719F05D}" cache="Slicer_Years__Date" caption="Years " columnCount="2"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251" totalsRowShown="0" headerRowDxfId="6" dataDxfId="5">
  <autoFilter ref="A1:E251" xr:uid="{00000000-0009-0000-0100-000001000000}"/>
  <tableColumns count="5">
    <tableColumn id="1" xr3:uid="{00000000-0010-0000-0000-000001000000}" name="Product" dataDxfId="4"/>
    <tableColumn id="2" xr3:uid="{00000000-0010-0000-0000-000002000000}" name="Revenue" dataDxfId="3"/>
    <tableColumn id="3" xr3:uid="{00000000-0010-0000-0000-000003000000}" name="Expenses" dataDxfId="2"/>
    <tableColumn id="4" xr3:uid="{00000000-0010-0000-0000-000004000000}" name="Profit" dataDxfId="1"/>
    <tableColumn id="5" xr3:uid="{00000000-0010-0000-0000-000005000000}" name="Date" dataDxfId="0"/>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Custom 2">
      <a:dk1>
        <a:srgbClr val="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14"/>
  <sheetViews>
    <sheetView workbookViewId="0">
      <selection activeCell="A14" sqref="A14"/>
    </sheetView>
  </sheetViews>
  <sheetFormatPr defaultRowHeight="14.5" x14ac:dyDescent="0.35"/>
  <cols>
    <col min="1" max="3" width="17.453125" bestFit="1" customWidth="1"/>
    <col min="4" max="4" width="11.26953125" bestFit="1" customWidth="1"/>
  </cols>
  <sheetData>
    <row r="3" spans="1:4" x14ac:dyDescent="0.35">
      <c r="A3" s="5" t="s">
        <v>332</v>
      </c>
    </row>
    <row r="4" spans="1:4" x14ac:dyDescent="0.35">
      <c r="A4" t="s">
        <v>0</v>
      </c>
      <c r="B4" t="s">
        <v>1</v>
      </c>
      <c r="C4" t="s">
        <v>2</v>
      </c>
      <c r="D4" t="s">
        <v>345</v>
      </c>
    </row>
    <row r="5" spans="1:4" x14ac:dyDescent="0.35">
      <c r="A5" s="17">
        <v>2192246103</v>
      </c>
      <c r="B5" s="17">
        <v>1098567507</v>
      </c>
      <c r="C5" s="17">
        <v>1093678596</v>
      </c>
      <c r="D5" s="18">
        <f>C5/A5</f>
        <v>0.49888495388512499</v>
      </c>
    </row>
    <row r="8" spans="1:4" x14ac:dyDescent="0.35">
      <c r="A8" s="17">
        <f>A5</f>
        <v>2192246103</v>
      </c>
    </row>
    <row r="10" spans="1:4" x14ac:dyDescent="0.35">
      <c r="A10" s="17">
        <f>B5</f>
        <v>1098567507</v>
      </c>
    </row>
    <row r="12" spans="1:4" x14ac:dyDescent="0.35">
      <c r="A12" s="17">
        <f>C5</f>
        <v>1093678596</v>
      </c>
    </row>
    <row r="14" spans="1:4" x14ac:dyDescent="0.35">
      <c r="A14" s="19">
        <f>D5</f>
        <v>0.49888495388512499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EA24-3E86-4AA1-B369-737E35616C05}">
  <dimension ref="A3:D16"/>
  <sheetViews>
    <sheetView workbookViewId="0">
      <selection activeCell="E4" sqref="E4"/>
    </sheetView>
  </sheetViews>
  <sheetFormatPr defaultRowHeight="14.5" x14ac:dyDescent="0.35"/>
  <cols>
    <col min="1" max="1" width="12.36328125" bestFit="1" customWidth="1"/>
    <col min="2" max="2" width="14.36328125" bestFit="1" customWidth="1"/>
    <col min="3" max="3" width="14.90625" bestFit="1" customWidth="1"/>
    <col min="4" max="4" width="13.453125" bestFit="1" customWidth="1"/>
  </cols>
  <sheetData>
    <row r="3" spans="1:4" x14ac:dyDescent="0.35">
      <c r="A3" s="5" t="s">
        <v>3</v>
      </c>
      <c r="B3" t="s">
        <v>0</v>
      </c>
      <c r="C3" t="s">
        <v>1</v>
      </c>
      <c r="D3" t="s">
        <v>2</v>
      </c>
    </row>
    <row r="4" spans="1:4" x14ac:dyDescent="0.35">
      <c r="A4" s="6" t="s">
        <v>334</v>
      </c>
      <c r="B4" s="2">
        <v>194852392</v>
      </c>
      <c r="C4" s="2">
        <v>83313460</v>
      </c>
      <c r="D4" s="2">
        <v>111538932</v>
      </c>
    </row>
    <row r="5" spans="1:4" x14ac:dyDescent="0.35">
      <c r="A5" s="6" t="s">
        <v>335</v>
      </c>
      <c r="B5" s="2">
        <v>126317039</v>
      </c>
      <c r="C5" s="2">
        <v>62435245</v>
      </c>
      <c r="D5" s="2">
        <v>63881794</v>
      </c>
    </row>
    <row r="6" spans="1:4" x14ac:dyDescent="0.35">
      <c r="A6" s="6" t="s">
        <v>336</v>
      </c>
      <c r="B6" s="2">
        <v>227375035</v>
      </c>
      <c r="C6" s="2">
        <v>128466699</v>
      </c>
      <c r="D6" s="2">
        <v>98908336</v>
      </c>
    </row>
    <row r="7" spans="1:4" x14ac:dyDescent="0.35">
      <c r="A7" s="6" t="s">
        <v>337</v>
      </c>
      <c r="B7" s="2">
        <v>192250122</v>
      </c>
      <c r="C7" s="2">
        <v>89398489</v>
      </c>
      <c r="D7" s="2">
        <v>102851633</v>
      </c>
    </row>
    <row r="8" spans="1:4" x14ac:dyDescent="0.35">
      <c r="A8" s="6" t="s">
        <v>37</v>
      </c>
      <c r="B8" s="2">
        <v>171236022</v>
      </c>
      <c r="C8" s="2">
        <v>85532789</v>
      </c>
      <c r="D8" s="2">
        <v>85703233</v>
      </c>
    </row>
    <row r="9" spans="1:4" x14ac:dyDescent="0.35">
      <c r="A9" s="6" t="s">
        <v>338</v>
      </c>
      <c r="B9" s="2">
        <v>175132919</v>
      </c>
      <c r="C9" s="2">
        <v>82761156</v>
      </c>
      <c r="D9" s="2">
        <v>92371763</v>
      </c>
    </row>
    <row r="10" spans="1:4" x14ac:dyDescent="0.35">
      <c r="A10" s="6" t="s">
        <v>339</v>
      </c>
      <c r="B10" s="2">
        <v>113235097</v>
      </c>
      <c r="C10" s="2">
        <v>72305349</v>
      </c>
      <c r="D10" s="2">
        <v>40929748</v>
      </c>
    </row>
    <row r="11" spans="1:4" x14ac:dyDescent="0.35">
      <c r="A11" s="6" t="s">
        <v>340</v>
      </c>
      <c r="B11" s="2">
        <v>333261357</v>
      </c>
      <c r="C11" s="2">
        <v>169279478</v>
      </c>
      <c r="D11" s="2">
        <v>163981879</v>
      </c>
    </row>
    <row r="12" spans="1:4" x14ac:dyDescent="0.35">
      <c r="A12" s="6" t="s">
        <v>341</v>
      </c>
      <c r="B12" s="2">
        <v>187401897</v>
      </c>
      <c r="C12" s="2">
        <v>97007291</v>
      </c>
      <c r="D12" s="2">
        <v>90394606</v>
      </c>
    </row>
    <row r="13" spans="1:4" x14ac:dyDescent="0.35">
      <c r="A13" s="6" t="s">
        <v>342</v>
      </c>
      <c r="B13" s="2">
        <v>190245851</v>
      </c>
      <c r="C13" s="2">
        <v>94528204</v>
      </c>
      <c r="D13" s="2">
        <v>95717647</v>
      </c>
    </row>
    <row r="14" spans="1:4" x14ac:dyDescent="0.35">
      <c r="A14" s="6" t="s">
        <v>343</v>
      </c>
      <c r="B14" s="2">
        <v>112305588</v>
      </c>
      <c r="C14" s="2">
        <v>53816965</v>
      </c>
      <c r="D14" s="2">
        <v>58488623</v>
      </c>
    </row>
    <row r="15" spans="1:4" x14ac:dyDescent="0.35">
      <c r="A15" s="6" t="s">
        <v>344</v>
      </c>
      <c r="B15" s="2">
        <v>168632784</v>
      </c>
      <c r="C15" s="2">
        <v>79722382</v>
      </c>
      <c r="D15" s="2">
        <v>88910402</v>
      </c>
    </row>
    <row r="16" spans="1:4" x14ac:dyDescent="0.35">
      <c r="A16" s="6" t="s">
        <v>7</v>
      </c>
      <c r="B16" s="2">
        <v>2192246103</v>
      </c>
      <c r="C16" s="2">
        <v>1098567507</v>
      </c>
      <c r="D16" s="2">
        <v>1093678596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7"/>
  <sheetViews>
    <sheetView zoomScale="98" zoomScaleNormal="98" workbookViewId="0">
      <selection activeCell="G16" sqref="G16"/>
    </sheetView>
  </sheetViews>
  <sheetFormatPr defaultRowHeight="14.5" x14ac:dyDescent="0.35"/>
  <cols>
    <col min="1" max="1" width="12.6328125" bestFit="1" customWidth="1"/>
    <col min="2" max="4" width="18.1796875" bestFit="1" customWidth="1"/>
  </cols>
  <sheetData>
    <row r="3" spans="1:2" x14ac:dyDescent="0.35">
      <c r="A3" s="5" t="s">
        <v>3</v>
      </c>
      <c r="B3" t="s">
        <v>0</v>
      </c>
    </row>
    <row r="4" spans="1:2" x14ac:dyDescent="0.35">
      <c r="A4" s="6" t="s">
        <v>4</v>
      </c>
      <c r="B4" s="2">
        <v>818145397</v>
      </c>
    </row>
    <row r="5" spans="1:2" x14ac:dyDescent="0.35">
      <c r="A5" s="6" t="s">
        <v>6</v>
      </c>
      <c r="B5" s="2">
        <v>1352741706</v>
      </c>
    </row>
    <row r="6" spans="1:2" x14ac:dyDescent="0.35">
      <c r="A6" s="6" t="s">
        <v>5</v>
      </c>
      <c r="B6" s="2">
        <v>21359000</v>
      </c>
    </row>
    <row r="7" spans="1:2" x14ac:dyDescent="0.35">
      <c r="A7" s="6" t="s">
        <v>7</v>
      </c>
      <c r="B7" s="17">
        <v>2192246103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EF788-12A6-4C63-9665-82416D5F8635}">
  <dimension ref="A3:E6"/>
  <sheetViews>
    <sheetView workbookViewId="0">
      <selection activeCell="E4" sqref="E4"/>
    </sheetView>
  </sheetViews>
  <sheetFormatPr defaultRowHeight="14.5" x14ac:dyDescent="0.35"/>
  <cols>
    <col min="1" max="1" width="12.36328125" bestFit="1" customWidth="1"/>
    <col min="2" max="2" width="14.36328125" bestFit="1" customWidth="1"/>
    <col min="3" max="3" width="14.90625" bestFit="1" customWidth="1"/>
    <col min="4" max="4" width="13.453125" bestFit="1" customWidth="1"/>
    <col min="5" max="5" width="11.7265625" bestFit="1" customWidth="1"/>
  </cols>
  <sheetData>
    <row r="3" spans="1:5" x14ac:dyDescent="0.35">
      <c r="A3" s="5" t="s">
        <v>3</v>
      </c>
      <c r="B3" t="s">
        <v>0</v>
      </c>
      <c r="C3" t="s">
        <v>1</v>
      </c>
      <c r="D3" t="s">
        <v>2</v>
      </c>
      <c r="E3" t="s">
        <v>347</v>
      </c>
    </row>
    <row r="4" spans="1:5" x14ac:dyDescent="0.35">
      <c r="A4" s="6" t="s">
        <v>346</v>
      </c>
      <c r="B4" s="2">
        <v>1103061597</v>
      </c>
      <c r="C4" s="2">
        <v>591129596</v>
      </c>
      <c r="D4" s="2">
        <v>511932001</v>
      </c>
      <c r="E4" s="18">
        <f>D4/B4</f>
        <v>0.4641010097643713</v>
      </c>
    </row>
    <row r="5" spans="1:5" x14ac:dyDescent="0.35">
      <c r="A5" s="6" t="s">
        <v>333</v>
      </c>
      <c r="B5" s="2">
        <v>1089184506</v>
      </c>
      <c r="C5" s="2">
        <v>507437911</v>
      </c>
      <c r="D5" s="2">
        <v>581746595</v>
      </c>
      <c r="E5" s="18">
        <f>D5/B5</f>
        <v>0.53411207357002188</v>
      </c>
    </row>
    <row r="6" spans="1:5" x14ac:dyDescent="0.35">
      <c r="A6" s="6" t="s">
        <v>7</v>
      </c>
      <c r="B6" s="2">
        <v>2192246103</v>
      </c>
      <c r="C6" s="2">
        <v>1098567507</v>
      </c>
      <c r="D6" s="2">
        <v>1093678596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9B45B-87C4-48A7-A9E0-71FF7569D05E}">
  <dimension ref="B12"/>
  <sheetViews>
    <sheetView showGridLines="0" showRowColHeaders="0" tabSelected="1" workbookViewId="0">
      <selection activeCell="Q5" sqref="Q5"/>
    </sheetView>
  </sheetViews>
  <sheetFormatPr defaultRowHeight="14.5" x14ac:dyDescent="0.35"/>
  <cols>
    <col min="1" max="16384" width="8.7265625" style="21"/>
  </cols>
  <sheetData>
    <row r="12" spans="2:2" x14ac:dyDescent="0.35">
      <c r="B12"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1"/>
  <sheetViews>
    <sheetView topLeftCell="A51" workbookViewId="0">
      <selection activeCell="E4" sqref="E4"/>
    </sheetView>
  </sheetViews>
  <sheetFormatPr defaultRowHeight="14.5" x14ac:dyDescent="0.35"/>
  <cols>
    <col min="1" max="1" width="12" bestFit="1" customWidth="1"/>
    <col min="2" max="2" width="12.54296875" style="2" bestFit="1" customWidth="1"/>
    <col min="3" max="3" width="13.08984375" style="2" bestFit="1" customWidth="1"/>
    <col min="4" max="4" width="12.26953125" style="2" bestFit="1" customWidth="1"/>
    <col min="5" max="5" width="14.453125" style="15" customWidth="1"/>
  </cols>
  <sheetData>
    <row r="1" spans="1:5" x14ac:dyDescent="0.35">
      <c r="A1" s="7" t="s">
        <v>8</v>
      </c>
      <c r="B1" s="8" t="s">
        <v>9</v>
      </c>
      <c r="C1" s="8" t="s">
        <v>10</v>
      </c>
      <c r="D1" s="8" t="s">
        <v>11</v>
      </c>
      <c r="E1" s="16" t="s">
        <v>12</v>
      </c>
    </row>
    <row r="2" spans="1:5" x14ac:dyDescent="0.35">
      <c r="A2" s="9" t="s">
        <v>4</v>
      </c>
      <c r="B2" s="10">
        <v>7409657</v>
      </c>
      <c r="C2" s="10">
        <v>6271336</v>
      </c>
      <c r="D2" s="10">
        <v>1138321</v>
      </c>
      <c r="E2" s="15">
        <v>45488</v>
      </c>
    </row>
    <row r="3" spans="1:5" x14ac:dyDescent="0.35">
      <c r="A3" s="11" t="s">
        <v>4</v>
      </c>
      <c r="B3" s="12">
        <v>7409657</v>
      </c>
      <c r="C3" s="12">
        <v>6271336</v>
      </c>
      <c r="D3" s="12">
        <v>1138321</v>
      </c>
      <c r="E3" s="15">
        <v>45385</v>
      </c>
    </row>
    <row r="4" spans="1:5" x14ac:dyDescent="0.35">
      <c r="A4" s="13" t="s">
        <v>4</v>
      </c>
      <c r="B4" s="14">
        <v>7409657</v>
      </c>
      <c r="C4" s="14">
        <v>6271336</v>
      </c>
      <c r="D4" s="14">
        <v>1138321</v>
      </c>
    </row>
    <row r="5" spans="1:5" x14ac:dyDescent="0.35">
      <c r="A5" s="11" t="s">
        <v>4</v>
      </c>
      <c r="B5" s="12">
        <v>7409657</v>
      </c>
      <c r="C5" s="12">
        <v>6271336</v>
      </c>
      <c r="D5" s="12">
        <v>1138321</v>
      </c>
      <c r="E5" s="15">
        <v>45365</v>
      </c>
    </row>
    <row r="6" spans="1:5" x14ac:dyDescent="0.35">
      <c r="A6" s="13" t="s">
        <v>4</v>
      </c>
      <c r="B6" s="14">
        <v>9814492</v>
      </c>
      <c r="C6" s="14">
        <v>5074629</v>
      </c>
      <c r="D6" s="14">
        <v>4739863</v>
      </c>
      <c r="E6" s="15">
        <v>45915</v>
      </c>
    </row>
    <row r="7" spans="1:5" x14ac:dyDescent="0.35">
      <c r="A7" s="11" t="s">
        <v>6</v>
      </c>
      <c r="B7" s="12">
        <v>13395142</v>
      </c>
      <c r="C7" s="12">
        <v>3866714</v>
      </c>
      <c r="D7" s="12">
        <v>9528428</v>
      </c>
      <c r="E7" s="15">
        <v>45821</v>
      </c>
    </row>
    <row r="8" spans="1:5" x14ac:dyDescent="0.35">
      <c r="A8" s="13" t="s">
        <v>6</v>
      </c>
      <c r="B8" s="14">
        <v>13395142</v>
      </c>
      <c r="C8" s="14">
        <v>3866714</v>
      </c>
      <c r="D8" s="14">
        <v>9528428</v>
      </c>
      <c r="E8" s="15">
        <v>45843</v>
      </c>
    </row>
    <row r="9" spans="1:5" x14ac:dyDescent="0.35">
      <c r="A9" s="11" t="s">
        <v>6</v>
      </c>
      <c r="B9" s="12">
        <v>13395142</v>
      </c>
      <c r="C9" s="12">
        <v>3866714</v>
      </c>
      <c r="D9" s="12">
        <v>9528428</v>
      </c>
      <c r="E9" s="15">
        <v>45516</v>
      </c>
    </row>
    <row r="10" spans="1:5" x14ac:dyDescent="0.35">
      <c r="A10" s="13" t="s">
        <v>4</v>
      </c>
      <c r="B10" s="14">
        <v>7684666</v>
      </c>
      <c r="C10" s="14">
        <v>5053533</v>
      </c>
      <c r="D10" s="14">
        <v>2631133</v>
      </c>
      <c r="E10" s="15">
        <v>45512</v>
      </c>
    </row>
    <row r="11" spans="1:5" x14ac:dyDescent="0.35">
      <c r="A11" s="11" t="s">
        <v>6</v>
      </c>
      <c r="B11" s="12">
        <v>13395811</v>
      </c>
      <c r="C11" s="12">
        <v>8109917</v>
      </c>
      <c r="D11" s="12">
        <v>5285894</v>
      </c>
      <c r="E11" s="15">
        <v>45870</v>
      </c>
    </row>
    <row r="12" spans="1:5" x14ac:dyDescent="0.35">
      <c r="A12" s="13" t="s">
        <v>6</v>
      </c>
      <c r="B12" s="14">
        <v>13395811</v>
      </c>
      <c r="C12" s="14">
        <v>8109917</v>
      </c>
      <c r="D12" s="14">
        <v>5285894</v>
      </c>
      <c r="E12" s="15">
        <v>45946</v>
      </c>
    </row>
    <row r="13" spans="1:5" x14ac:dyDescent="0.35">
      <c r="A13" s="11" t="s">
        <v>6</v>
      </c>
      <c r="B13" s="12">
        <v>13395811</v>
      </c>
      <c r="C13" s="12">
        <v>8109917</v>
      </c>
      <c r="D13" s="12">
        <v>5285894</v>
      </c>
      <c r="E13" s="15">
        <v>45721</v>
      </c>
    </row>
    <row r="14" spans="1:5" x14ac:dyDescent="0.35">
      <c r="A14" s="13" t="s">
        <v>4</v>
      </c>
      <c r="B14" s="14">
        <v>7684666</v>
      </c>
      <c r="C14" s="14">
        <v>5053533</v>
      </c>
      <c r="D14" s="14">
        <v>2631133</v>
      </c>
      <c r="E14" s="15">
        <v>45509</v>
      </c>
    </row>
    <row r="15" spans="1:5" x14ac:dyDescent="0.35">
      <c r="A15" s="11" t="s">
        <v>4</v>
      </c>
      <c r="B15" s="12">
        <v>9869633</v>
      </c>
      <c r="C15" s="12">
        <v>8708702</v>
      </c>
      <c r="D15" s="12">
        <v>1160931</v>
      </c>
      <c r="E15" s="15">
        <v>45418</v>
      </c>
    </row>
    <row r="16" spans="1:5" x14ac:dyDescent="0.35">
      <c r="A16" s="13" t="s">
        <v>4</v>
      </c>
      <c r="B16" s="14">
        <v>9869633</v>
      </c>
      <c r="C16" s="14">
        <v>8708702</v>
      </c>
      <c r="D16" s="14">
        <v>1160931</v>
      </c>
      <c r="E16" s="15">
        <v>45311</v>
      </c>
    </row>
    <row r="17" spans="1:5" x14ac:dyDescent="0.35">
      <c r="A17" s="11" t="s">
        <v>4</v>
      </c>
      <c r="B17" s="12">
        <v>5297234</v>
      </c>
      <c r="C17" s="12">
        <v>3596622</v>
      </c>
      <c r="D17" s="12">
        <v>1700612</v>
      </c>
      <c r="E17" s="15">
        <v>45934</v>
      </c>
    </row>
    <row r="18" spans="1:5" x14ac:dyDescent="0.35">
      <c r="A18" s="13" t="s">
        <v>6</v>
      </c>
      <c r="B18" s="14">
        <v>9406634</v>
      </c>
      <c r="C18" s="14">
        <v>1310092</v>
      </c>
      <c r="D18" s="14">
        <v>8096542</v>
      </c>
      <c r="E18" s="15">
        <v>45349</v>
      </c>
    </row>
    <row r="19" spans="1:5" x14ac:dyDescent="0.35">
      <c r="A19" s="11" t="s">
        <v>4</v>
      </c>
      <c r="B19" s="12">
        <v>5297234</v>
      </c>
      <c r="C19" s="12">
        <v>3596622</v>
      </c>
      <c r="D19" s="12">
        <v>1700612</v>
      </c>
      <c r="E19" s="15">
        <v>46016</v>
      </c>
    </row>
    <row r="20" spans="1:5" x14ac:dyDescent="0.35">
      <c r="A20" s="13" t="s">
        <v>6</v>
      </c>
      <c r="B20" s="14">
        <v>9406634</v>
      </c>
      <c r="C20" s="14">
        <v>1310092</v>
      </c>
      <c r="D20" s="14">
        <v>8096542</v>
      </c>
      <c r="E20" s="15">
        <v>45996</v>
      </c>
    </row>
    <row r="21" spans="1:5" x14ac:dyDescent="0.35">
      <c r="A21" s="11" t="s">
        <v>6</v>
      </c>
      <c r="B21" s="12">
        <v>9406634</v>
      </c>
      <c r="C21" s="12">
        <v>1310092</v>
      </c>
      <c r="D21" s="12">
        <v>8096542</v>
      </c>
      <c r="E21" s="15">
        <v>45420</v>
      </c>
    </row>
    <row r="22" spans="1:5" x14ac:dyDescent="0.35">
      <c r="A22" s="13" t="s">
        <v>6</v>
      </c>
      <c r="B22" s="14">
        <v>9166769</v>
      </c>
      <c r="C22" s="14">
        <v>7049977</v>
      </c>
      <c r="D22" s="14">
        <v>2116792</v>
      </c>
      <c r="E22" s="15">
        <v>45511</v>
      </c>
    </row>
    <row r="23" spans="1:5" x14ac:dyDescent="0.35">
      <c r="A23" s="11" t="s">
        <v>4</v>
      </c>
      <c r="B23" s="12">
        <v>10887632</v>
      </c>
      <c r="C23" s="12">
        <v>3314932</v>
      </c>
      <c r="D23" s="12">
        <v>7572700</v>
      </c>
      <c r="E23" s="15">
        <v>45809</v>
      </c>
    </row>
    <row r="24" spans="1:5" x14ac:dyDescent="0.35">
      <c r="A24" s="13" t="s">
        <v>6</v>
      </c>
      <c r="B24" s="14">
        <v>9166769</v>
      </c>
      <c r="C24" s="14">
        <v>7049977</v>
      </c>
      <c r="D24" s="14">
        <v>2116792</v>
      </c>
      <c r="E24" s="15">
        <v>45655</v>
      </c>
    </row>
    <row r="25" spans="1:5" x14ac:dyDescent="0.35">
      <c r="A25" s="11" t="s">
        <v>4</v>
      </c>
      <c r="B25" s="12">
        <v>10887632</v>
      </c>
      <c r="C25" s="12">
        <v>3314932</v>
      </c>
      <c r="D25" s="12">
        <v>7572700</v>
      </c>
      <c r="E25" s="15">
        <v>45756</v>
      </c>
    </row>
    <row r="26" spans="1:5" x14ac:dyDescent="0.35">
      <c r="A26" s="13" t="s">
        <v>6</v>
      </c>
      <c r="B26" s="14">
        <v>9166769</v>
      </c>
      <c r="C26" s="14">
        <v>7049977</v>
      </c>
      <c r="D26" s="14">
        <v>2116792</v>
      </c>
      <c r="E26" s="15">
        <v>45423</v>
      </c>
    </row>
    <row r="27" spans="1:5" x14ac:dyDescent="0.35">
      <c r="A27" s="11" t="s">
        <v>6</v>
      </c>
      <c r="B27" s="12">
        <v>9166769</v>
      </c>
      <c r="C27" s="12">
        <v>7049977</v>
      </c>
      <c r="D27" s="12">
        <v>2116792</v>
      </c>
      <c r="E27" s="15">
        <v>45895</v>
      </c>
    </row>
    <row r="28" spans="1:5" x14ac:dyDescent="0.35">
      <c r="A28" s="13" t="s">
        <v>6</v>
      </c>
      <c r="B28" s="14">
        <v>6659621</v>
      </c>
      <c r="C28" s="14">
        <v>5718412</v>
      </c>
      <c r="D28" s="14">
        <v>941209</v>
      </c>
      <c r="E28" s="15">
        <v>45844</v>
      </c>
    </row>
    <row r="29" spans="1:5" x14ac:dyDescent="0.35">
      <c r="A29" s="11" t="s">
        <v>4</v>
      </c>
      <c r="B29" s="12">
        <v>7713630</v>
      </c>
      <c r="C29" s="12">
        <v>1832250</v>
      </c>
      <c r="D29" s="12">
        <v>5881380</v>
      </c>
      <c r="E29" s="15">
        <v>45663</v>
      </c>
    </row>
    <row r="30" spans="1:5" x14ac:dyDescent="0.35">
      <c r="A30" s="13" t="s">
        <v>4</v>
      </c>
      <c r="B30" s="14">
        <v>7713630</v>
      </c>
      <c r="C30" s="14">
        <v>1832250</v>
      </c>
      <c r="D30" s="14">
        <v>5881380</v>
      </c>
      <c r="E30" s="15">
        <v>45576</v>
      </c>
    </row>
    <row r="31" spans="1:5" x14ac:dyDescent="0.35">
      <c r="A31" s="11" t="s">
        <v>4</v>
      </c>
      <c r="B31" s="12">
        <v>7713630</v>
      </c>
      <c r="C31" s="12">
        <v>1832250</v>
      </c>
      <c r="D31" s="12">
        <v>5881380</v>
      </c>
      <c r="E31" s="15">
        <v>45988</v>
      </c>
    </row>
    <row r="32" spans="1:5" x14ac:dyDescent="0.35">
      <c r="A32" s="13" t="s">
        <v>6</v>
      </c>
      <c r="B32" s="14">
        <v>6659621</v>
      </c>
      <c r="C32" s="14">
        <v>5718412</v>
      </c>
      <c r="D32" s="14">
        <v>941209</v>
      </c>
      <c r="E32" s="15">
        <v>45324</v>
      </c>
    </row>
    <row r="33" spans="1:5" x14ac:dyDescent="0.35">
      <c r="A33" s="11" t="s">
        <v>6</v>
      </c>
      <c r="B33" s="12">
        <v>10655734</v>
      </c>
      <c r="C33" s="12">
        <v>2408508</v>
      </c>
      <c r="D33" s="12">
        <v>8247226</v>
      </c>
    </row>
    <row r="34" spans="1:5" x14ac:dyDescent="0.35">
      <c r="A34" s="13" t="s">
        <v>4</v>
      </c>
      <c r="B34" s="14">
        <v>6629660</v>
      </c>
      <c r="C34" s="14">
        <v>3523400</v>
      </c>
      <c r="D34" s="14">
        <v>3106260</v>
      </c>
    </row>
    <row r="35" spans="1:5" x14ac:dyDescent="0.35">
      <c r="A35" s="11" t="s">
        <v>6</v>
      </c>
      <c r="B35" s="12">
        <v>10655734</v>
      </c>
      <c r="C35" s="12">
        <v>2408508</v>
      </c>
      <c r="D35" s="12">
        <v>8247226</v>
      </c>
      <c r="E35" s="15">
        <v>45638</v>
      </c>
    </row>
    <row r="36" spans="1:5" x14ac:dyDescent="0.35">
      <c r="A36" s="13" t="s">
        <v>5</v>
      </c>
      <c r="B36" s="14">
        <v>12433378</v>
      </c>
      <c r="C36" s="14">
        <v>3398230</v>
      </c>
      <c r="D36" s="14">
        <v>9035148</v>
      </c>
      <c r="E36" s="15">
        <v>45787</v>
      </c>
    </row>
    <row r="37" spans="1:5" x14ac:dyDescent="0.35">
      <c r="A37" s="11" t="s">
        <v>6</v>
      </c>
      <c r="B37" s="12">
        <v>12433378</v>
      </c>
      <c r="C37" s="12">
        <v>3398230</v>
      </c>
      <c r="D37" s="12">
        <v>9035148</v>
      </c>
    </row>
    <row r="38" spans="1:5" x14ac:dyDescent="0.35">
      <c r="A38" s="13" t="s">
        <v>6</v>
      </c>
      <c r="B38" s="14">
        <v>12433378</v>
      </c>
      <c r="C38" s="14">
        <v>3398230</v>
      </c>
      <c r="D38" s="14">
        <v>9035148</v>
      </c>
      <c r="E38" s="15">
        <v>45455</v>
      </c>
    </row>
    <row r="39" spans="1:5" x14ac:dyDescent="0.35">
      <c r="A39" s="11" t="s">
        <v>6</v>
      </c>
      <c r="B39" s="12">
        <v>12433378</v>
      </c>
      <c r="C39" s="12">
        <v>3398230</v>
      </c>
      <c r="D39" s="12">
        <v>9035148</v>
      </c>
      <c r="E39" s="15">
        <v>45516</v>
      </c>
    </row>
    <row r="40" spans="1:5" x14ac:dyDescent="0.35">
      <c r="A40" s="13" t="s">
        <v>6</v>
      </c>
      <c r="B40" s="14">
        <v>8925622</v>
      </c>
      <c r="C40" s="14">
        <v>7859625</v>
      </c>
      <c r="D40" s="14">
        <v>1065997</v>
      </c>
      <c r="E40" s="15">
        <v>46010</v>
      </c>
    </row>
    <row r="41" spans="1:5" x14ac:dyDescent="0.35">
      <c r="A41" s="11" t="s">
        <v>4</v>
      </c>
      <c r="B41" s="12">
        <v>3115955</v>
      </c>
      <c r="C41" s="12">
        <v>2888010</v>
      </c>
      <c r="D41" s="12">
        <v>227945</v>
      </c>
      <c r="E41" s="15">
        <v>45446</v>
      </c>
    </row>
    <row r="42" spans="1:5" x14ac:dyDescent="0.35">
      <c r="A42" s="13" t="s">
        <v>4</v>
      </c>
      <c r="B42" s="14">
        <v>3115955</v>
      </c>
      <c r="C42" s="14">
        <v>2888010</v>
      </c>
      <c r="D42" s="14">
        <v>227945</v>
      </c>
      <c r="E42" s="15">
        <v>45866</v>
      </c>
    </row>
    <row r="43" spans="1:5" x14ac:dyDescent="0.35">
      <c r="A43" s="11" t="s">
        <v>4</v>
      </c>
      <c r="B43" s="12">
        <v>3115955</v>
      </c>
      <c r="C43" s="12">
        <v>2888010</v>
      </c>
      <c r="D43" s="12">
        <v>227945</v>
      </c>
      <c r="E43" s="15">
        <v>45538</v>
      </c>
    </row>
    <row r="44" spans="1:5" x14ac:dyDescent="0.35">
      <c r="A44" s="13" t="s">
        <v>6</v>
      </c>
      <c r="B44" s="14">
        <v>8925622</v>
      </c>
      <c r="C44" s="14">
        <v>7859625</v>
      </c>
      <c r="D44" s="14">
        <v>1065997</v>
      </c>
      <c r="E44" s="15">
        <v>45894</v>
      </c>
    </row>
    <row r="45" spans="1:5" x14ac:dyDescent="0.35">
      <c r="A45" s="11" t="s">
        <v>4</v>
      </c>
      <c r="B45" s="12">
        <v>2093322</v>
      </c>
      <c r="C45" s="12">
        <v>846252</v>
      </c>
      <c r="D45" s="12">
        <v>1247070</v>
      </c>
    </row>
    <row r="46" spans="1:5" x14ac:dyDescent="0.35">
      <c r="A46" s="13" t="s">
        <v>4</v>
      </c>
      <c r="B46" s="14">
        <v>2093322</v>
      </c>
      <c r="C46" s="14">
        <v>846252</v>
      </c>
      <c r="D46" s="14">
        <v>1247070</v>
      </c>
      <c r="E46" s="15">
        <v>45811</v>
      </c>
    </row>
    <row r="47" spans="1:5" x14ac:dyDescent="0.35">
      <c r="A47" s="11" t="s">
        <v>4</v>
      </c>
      <c r="B47" s="12">
        <v>2093322</v>
      </c>
      <c r="C47" s="12">
        <v>846252</v>
      </c>
      <c r="D47" s="12">
        <v>1247070</v>
      </c>
      <c r="E47" s="15">
        <v>45434</v>
      </c>
    </row>
    <row r="48" spans="1:5" x14ac:dyDescent="0.35">
      <c r="A48" s="13" t="s">
        <v>6</v>
      </c>
      <c r="B48" s="14">
        <v>13243123</v>
      </c>
      <c r="C48" s="14">
        <v>5468428</v>
      </c>
      <c r="D48" s="14">
        <v>7774695</v>
      </c>
    </row>
    <row r="49" spans="1:5" x14ac:dyDescent="0.35">
      <c r="A49" s="11" t="s">
        <v>6</v>
      </c>
      <c r="B49" s="12">
        <v>13243123</v>
      </c>
      <c r="C49" s="12">
        <v>5468428</v>
      </c>
      <c r="D49" s="12">
        <v>7774695</v>
      </c>
      <c r="E49" s="15">
        <v>45778</v>
      </c>
    </row>
    <row r="50" spans="1:5" x14ac:dyDescent="0.35">
      <c r="A50" s="13" t="s">
        <v>6</v>
      </c>
      <c r="B50" s="14">
        <v>13243123</v>
      </c>
      <c r="C50" s="14">
        <v>5468428</v>
      </c>
      <c r="D50" s="14">
        <v>7774695</v>
      </c>
      <c r="E50" s="15">
        <v>45359</v>
      </c>
    </row>
    <row r="51" spans="1:5" x14ac:dyDescent="0.35">
      <c r="A51" s="11" t="s">
        <v>4</v>
      </c>
      <c r="B51" s="12">
        <v>10932582</v>
      </c>
      <c r="C51" s="12">
        <v>9516586</v>
      </c>
      <c r="D51" s="12">
        <v>1415996</v>
      </c>
      <c r="E51" s="15">
        <v>45372</v>
      </c>
    </row>
    <row r="52" spans="1:5" x14ac:dyDescent="0.35">
      <c r="A52" s="13" t="s">
        <v>4</v>
      </c>
      <c r="B52" s="14">
        <v>10932582</v>
      </c>
      <c r="C52" s="14">
        <v>9516586</v>
      </c>
      <c r="D52" s="14">
        <v>1415996</v>
      </c>
      <c r="E52" s="15">
        <v>45562</v>
      </c>
    </row>
    <row r="53" spans="1:5" x14ac:dyDescent="0.35">
      <c r="A53" s="11" t="s">
        <v>6</v>
      </c>
      <c r="B53" s="12">
        <v>17772619</v>
      </c>
      <c r="C53" s="12">
        <v>3751148</v>
      </c>
      <c r="D53" s="12">
        <v>14021471</v>
      </c>
    </row>
    <row r="54" spans="1:5" x14ac:dyDescent="0.35">
      <c r="A54" s="13" t="s">
        <v>6</v>
      </c>
      <c r="B54" s="14">
        <v>17772619</v>
      </c>
      <c r="C54" s="14">
        <v>3751148</v>
      </c>
      <c r="D54" s="14">
        <v>14021471</v>
      </c>
      <c r="E54" s="15">
        <v>45896</v>
      </c>
    </row>
    <row r="55" spans="1:5" x14ac:dyDescent="0.35">
      <c r="A55" s="11" t="s">
        <v>4</v>
      </c>
      <c r="B55" s="12">
        <v>10932582</v>
      </c>
      <c r="C55" s="12">
        <v>9516586</v>
      </c>
      <c r="D55" s="12">
        <v>1415996</v>
      </c>
    </row>
    <row r="56" spans="1:5" x14ac:dyDescent="0.35">
      <c r="A56" s="13" t="s">
        <v>4</v>
      </c>
      <c r="B56" s="14">
        <v>6629660</v>
      </c>
      <c r="C56" s="14">
        <v>3523400</v>
      </c>
      <c r="D56" s="14">
        <v>3106260</v>
      </c>
      <c r="E56" s="15">
        <v>45765</v>
      </c>
    </row>
    <row r="57" spans="1:5" x14ac:dyDescent="0.35">
      <c r="A57" s="11" t="s">
        <v>4</v>
      </c>
      <c r="B57" s="12">
        <v>9814492</v>
      </c>
      <c r="C57" s="12">
        <v>5074629</v>
      </c>
      <c r="D57" s="12">
        <v>4739863</v>
      </c>
      <c r="E57" s="15">
        <v>45903</v>
      </c>
    </row>
    <row r="58" spans="1:5" x14ac:dyDescent="0.35">
      <c r="A58" s="13" t="s">
        <v>6</v>
      </c>
      <c r="B58" s="14">
        <v>6659621</v>
      </c>
      <c r="C58" s="14">
        <v>5718412</v>
      </c>
      <c r="D58" s="14">
        <v>941209</v>
      </c>
      <c r="E58" s="15">
        <v>45446</v>
      </c>
    </row>
    <row r="59" spans="1:5" x14ac:dyDescent="0.35">
      <c r="A59" s="11" t="s">
        <v>4</v>
      </c>
      <c r="B59" s="12">
        <v>6641746</v>
      </c>
      <c r="C59" s="12">
        <v>2466037</v>
      </c>
      <c r="D59" s="12">
        <v>4175709</v>
      </c>
      <c r="E59" s="15">
        <v>45902</v>
      </c>
    </row>
    <row r="60" spans="1:5" x14ac:dyDescent="0.35">
      <c r="A60" s="13" t="s">
        <v>6</v>
      </c>
      <c r="B60" s="14">
        <v>13395811</v>
      </c>
      <c r="C60" s="14">
        <v>8109917</v>
      </c>
      <c r="D60" s="14">
        <v>5285894</v>
      </c>
      <c r="E60" s="15">
        <v>45833</v>
      </c>
    </row>
    <row r="61" spans="1:5" x14ac:dyDescent="0.35">
      <c r="A61" s="11" t="s">
        <v>6</v>
      </c>
      <c r="B61" s="12">
        <v>12433378</v>
      </c>
      <c r="C61" s="12">
        <v>3398230</v>
      </c>
      <c r="D61" s="12">
        <v>9035148</v>
      </c>
      <c r="E61" s="15">
        <v>45702</v>
      </c>
    </row>
    <row r="62" spans="1:5" x14ac:dyDescent="0.35">
      <c r="A62" s="13" t="s">
        <v>4</v>
      </c>
      <c r="B62" s="14">
        <v>7684666</v>
      </c>
      <c r="C62" s="14">
        <v>5053533</v>
      </c>
      <c r="D62" s="14">
        <v>2631133</v>
      </c>
      <c r="E62" s="15">
        <v>45363</v>
      </c>
    </row>
    <row r="63" spans="1:5" x14ac:dyDescent="0.35">
      <c r="A63" s="11" t="s">
        <v>6</v>
      </c>
      <c r="B63" s="12">
        <v>17872796</v>
      </c>
      <c r="C63" s="12">
        <v>4065021</v>
      </c>
      <c r="D63" s="12">
        <v>13807775</v>
      </c>
      <c r="E63" s="15">
        <v>45336</v>
      </c>
    </row>
    <row r="64" spans="1:5" x14ac:dyDescent="0.35">
      <c r="A64" s="13" t="s">
        <v>6</v>
      </c>
      <c r="B64" s="14">
        <v>17772619</v>
      </c>
      <c r="C64" s="14">
        <v>3751148</v>
      </c>
      <c r="D64" s="14">
        <v>14021471</v>
      </c>
      <c r="E64" s="15">
        <v>45640</v>
      </c>
    </row>
    <row r="65" spans="1:5" x14ac:dyDescent="0.35">
      <c r="A65" s="11" t="s">
        <v>6</v>
      </c>
      <c r="B65" s="12">
        <v>12433378</v>
      </c>
      <c r="C65" s="12">
        <v>3398230</v>
      </c>
      <c r="D65" s="12">
        <v>9035148</v>
      </c>
      <c r="E65" s="15">
        <v>45457</v>
      </c>
    </row>
    <row r="66" spans="1:5" x14ac:dyDescent="0.35">
      <c r="A66" s="13" t="s">
        <v>4</v>
      </c>
      <c r="B66" s="14">
        <v>5297234</v>
      </c>
      <c r="C66" s="14">
        <v>3596622</v>
      </c>
      <c r="D66" s="14">
        <v>1700612</v>
      </c>
      <c r="E66" s="15">
        <v>45453</v>
      </c>
    </row>
    <row r="67" spans="1:5" x14ac:dyDescent="0.35">
      <c r="A67" s="11" t="s">
        <v>4</v>
      </c>
      <c r="B67" s="12">
        <v>6629660</v>
      </c>
      <c r="C67" s="12">
        <v>3523400</v>
      </c>
      <c r="D67" s="12">
        <v>3106260</v>
      </c>
      <c r="E67" s="15">
        <v>45761</v>
      </c>
    </row>
    <row r="68" spans="1:5" x14ac:dyDescent="0.35">
      <c r="A68" s="13" t="s">
        <v>4</v>
      </c>
      <c r="B68" s="14">
        <v>6629660</v>
      </c>
      <c r="C68" s="14">
        <v>3523400</v>
      </c>
      <c r="D68" s="14">
        <v>3106260</v>
      </c>
      <c r="E68" s="15">
        <v>45526</v>
      </c>
    </row>
    <row r="69" spans="1:5" x14ac:dyDescent="0.35">
      <c r="A69" s="11" t="s">
        <v>6</v>
      </c>
      <c r="B69" s="12">
        <v>13395142</v>
      </c>
      <c r="C69" s="12">
        <v>3866714</v>
      </c>
      <c r="D69" s="12">
        <v>9528428</v>
      </c>
      <c r="E69" s="15">
        <v>45535</v>
      </c>
    </row>
    <row r="70" spans="1:5" x14ac:dyDescent="0.35">
      <c r="A70" s="13" t="s">
        <v>6</v>
      </c>
      <c r="B70" s="14">
        <v>6659621</v>
      </c>
      <c r="C70" s="14">
        <v>5718412</v>
      </c>
      <c r="D70" s="14">
        <v>941209</v>
      </c>
      <c r="E70" s="15">
        <v>45967</v>
      </c>
    </row>
    <row r="71" spans="1:5" x14ac:dyDescent="0.35">
      <c r="A71" s="11" t="s">
        <v>4</v>
      </c>
      <c r="B71" s="12">
        <v>5297234</v>
      </c>
      <c r="C71" s="12">
        <v>3596622</v>
      </c>
      <c r="D71" s="12">
        <v>1700612</v>
      </c>
      <c r="E71" s="15">
        <v>45396</v>
      </c>
    </row>
    <row r="72" spans="1:5" x14ac:dyDescent="0.35">
      <c r="A72" s="13" t="s">
        <v>4</v>
      </c>
      <c r="B72" s="14">
        <v>10887632</v>
      </c>
      <c r="C72" s="14">
        <v>3314932</v>
      </c>
      <c r="D72" s="14">
        <v>7572700</v>
      </c>
      <c r="E72" s="15">
        <v>45525</v>
      </c>
    </row>
    <row r="73" spans="1:5" x14ac:dyDescent="0.35">
      <c r="A73" s="11" t="s">
        <v>6</v>
      </c>
      <c r="B73" s="12">
        <v>9166769</v>
      </c>
      <c r="C73" s="12">
        <v>7049977</v>
      </c>
      <c r="D73" s="12">
        <v>2116792</v>
      </c>
      <c r="E73" s="15">
        <v>45495</v>
      </c>
    </row>
    <row r="74" spans="1:5" x14ac:dyDescent="0.35">
      <c r="A74" s="13" t="s">
        <v>6</v>
      </c>
      <c r="B74" s="14">
        <v>13395811</v>
      </c>
      <c r="C74" s="14">
        <v>8109917</v>
      </c>
      <c r="D74" s="14">
        <v>5285894</v>
      </c>
      <c r="E74" s="15">
        <v>45362</v>
      </c>
    </row>
    <row r="75" spans="1:5" x14ac:dyDescent="0.35">
      <c r="A75" s="11" t="s">
        <v>6</v>
      </c>
      <c r="B75" s="12">
        <v>13395811</v>
      </c>
      <c r="C75" s="12">
        <v>8109917</v>
      </c>
      <c r="D75" s="12">
        <v>5285894</v>
      </c>
      <c r="E75" s="15">
        <v>45993</v>
      </c>
    </row>
    <row r="76" spans="1:5" x14ac:dyDescent="0.35">
      <c r="A76" s="13" t="s">
        <v>4</v>
      </c>
      <c r="B76" s="14">
        <v>10932582</v>
      </c>
      <c r="C76" s="14">
        <v>9516586</v>
      </c>
      <c r="D76" s="14">
        <v>1415996</v>
      </c>
      <c r="E76" s="15">
        <v>45682</v>
      </c>
    </row>
    <row r="77" spans="1:5" x14ac:dyDescent="0.35">
      <c r="A77" s="11" t="s">
        <v>6</v>
      </c>
      <c r="B77" s="12">
        <v>17772619</v>
      </c>
      <c r="C77" s="12">
        <v>3751148</v>
      </c>
      <c r="D77" s="12">
        <v>14021471</v>
      </c>
      <c r="E77" s="15">
        <v>45832</v>
      </c>
    </row>
    <row r="78" spans="1:5" x14ac:dyDescent="0.35">
      <c r="A78" s="13" t="s">
        <v>4</v>
      </c>
      <c r="B78" s="14">
        <v>6629660</v>
      </c>
      <c r="C78" s="14">
        <v>3523400</v>
      </c>
      <c r="D78" s="14">
        <v>3106260</v>
      </c>
      <c r="E78" s="15">
        <v>45373</v>
      </c>
    </row>
    <row r="79" spans="1:5" x14ac:dyDescent="0.35">
      <c r="A79" s="11" t="s">
        <v>6</v>
      </c>
      <c r="B79" s="12">
        <v>10422659</v>
      </c>
      <c r="C79" s="12">
        <v>8777125</v>
      </c>
      <c r="D79" s="12">
        <v>1645534</v>
      </c>
    </row>
    <row r="80" spans="1:5" x14ac:dyDescent="0.35">
      <c r="A80" s="13" t="s">
        <v>6</v>
      </c>
      <c r="B80" s="14">
        <v>13243123</v>
      </c>
      <c r="C80" s="14">
        <v>5468428</v>
      </c>
      <c r="D80" s="14">
        <v>7774695</v>
      </c>
      <c r="E80" s="15">
        <v>45724</v>
      </c>
    </row>
    <row r="81" spans="1:5" x14ac:dyDescent="0.35">
      <c r="A81" s="11" t="s">
        <v>4</v>
      </c>
      <c r="B81" s="12">
        <v>10932582</v>
      </c>
      <c r="C81" s="12">
        <v>9516586</v>
      </c>
      <c r="D81" s="12">
        <v>1415996</v>
      </c>
      <c r="E81" s="15">
        <v>45996</v>
      </c>
    </row>
    <row r="82" spans="1:5" x14ac:dyDescent="0.35">
      <c r="A82" s="13" t="s">
        <v>4</v>
      </c>
      <c r="B82" s="14">
        <v>10932582</v>
      </c>
      <c r="C82" s="14">
        <v>9516586</v>
      </c>
      <c r="D82" s="14">
        <v>1415996</v>
      </c>
      <c r="E82" s="15">
        <v>45544</v>
      </c>
    </row>
    <row r="83" spans="1:5" x14ac:dyDescent="0.35">
      <c r="A83" s="11" t="s">
        <v>6</v>
      </c>
      <c r="B83" s="12">
        <v>17872796</v>
      </c>
      <c r="C83" s="12">
        <v>4065021</v>
      </c>
      <c r="D83" s="12">
        <v>13807775</v>
      </c>
      <c r="E83" s="15">
        <v>45946</v>
      </c>
    </row>
    <row r="84" spans="1:5" x14ac:dyDescent="0.35">
      <c r="A84" s="13" t="s">
        <v>6</v>
      </c>
      <c r="B84" s="14">
        <v>6659621</v>
      </c>
      <c r="C84" s="14">
        <v>5718412</v>
      </c>
      <c r="D84" s="14">
        <v>941209</v>
      </c>
      <c r="E84" s="15">
        <v>45988</v>
      </c>
    </row>
    <row r="85" spans="1:5" x14ac:dyDescent="0.35">
      <c r="A85" s="11" t="s">
        <v>6</v>
      </c>
      <c r="B85" s="12">
        <v>9166769</v>
      </c>
      <c r="C85" s="12">
        <v>7049977</v>
      </c>
      <c r="D85" s="12">
        <v>2116792</v>
      </c>
      <c r="E85" s="15">
        <v>45520</v>
      </c>
    </row>
    <row r="86" spans="1:5" x14ac:dyDescent="0.35">
      <c r="A86" s="13" t="s">
        <v>6</v>
      </c>
      <c r="B86" s="14">
        <v>8925622</v>
      </c>
      <c r="C86" s="14">
        <v>7859625</v>
      </c>
      <c r="D86" s="14">
        <v>1065997</v>
      </c>
      <c r="E86" s="15">
        <v>45566</v>
      </c>
    </row>
    <row r="87" spans="1:5" x14ac:dyDescent="0.35">
      <c r="A87" s="11" t="s">
        <v>4</v>
      </c>
      <c r="B87" s="12">
        <v>5297234</v>
      </c>
      <c r="C87" s="12">
        <v>3596622</v>
      </c>
      <c r="D87" s="12">
        <v>1700612</v>
      </c>
      <c r="E87" s="15">
        <v>45850</v>
      </c>
    </row>
    <row r="88" spans="1:5" x14ac:dyDescent="0.35">
      <c r="A88" s="13" t="s">
        <v>4</v>
      </c>
      <c r="B88" s="14">
        <v>6641746</v>
      </c>
      <c r="C88" s="14">
        <v>2466037</v>
      </c>
      <c r="D88" s="14">
        <v>4175709</v>
      </c>
      <c r="E88" s="15">
        <v>45680</v>
      </c>
    </row>
    <row r="89" spans="1:5" x14ac:dyDescent="0.35">
      <c r="A89" s="11" t="s">
        <v>6</v>
      </c>
      <c r="B89" s="12">
        <v>9166769</v>
      </c>
      <c r="C89" s="12">
        <v>7049977</v>
      </c>
      <c r="D89" s="12">
        <v>2116792</v>
      </c>
      <c r="E89" s="15">
        <v>45372</v>
      </c>
    </row>
    <row r="90" spans="1:5" x14ac:dyDescent="0.35">
      <c r="A90" s="13" t="s">
        <v>4</v>
      </c>
      <c r="B90" s="14">
        <v>5297234</v>
      </c>
      <c r="C90" s="14">
        <v>3596622</v>
      </c>
      <c r="D90" s="14">
        <v>1700612</v>
      </c>
      <c r="E90" s="15">
        <v>45803</v>
      </c>
    </row>
    <row r="91" spans="1:5" x14ac:dyDescent="0.35">
      <c r="A91" s="11" t="s">
        <v>6</v>
      </c>
      <c r="B91" s="12">
        <v>9406634</v>
      </c>
      <c r="C91" s="12">
        <v>1310092</v>
      </c>
      <c r="D91" s="12">
        <v>8096542</v>
      </c>
    </row>
    <row r="92" spans="1:5" x14ac:dyDescent="0.35">
      <c r="A92" s="13" t="s">
        <v>5</v>
      </c>
      <c r="B92" s="14">
        <v>8925622</v>
      </c>
      <c r="C92" s="14">
        <v>7859625</v>
      </c>
      <c r="D92" s="14">
        <v>1065997</v>
      </c>
      <c r="E92" s="15">
        <v>45850</v>
      </c>
    </row>
    <row r="93" spans="1:5" x14ac:dyDescent="0.35">
      <c r="A93" s="11" t="s">
        <v>6</v>
      </c>
      <c r="B93" s="12">
        <v>8925622</v>
      </c>
      <c r="C93" s="12">
        <v>7859625</v>
      </c>
      <c r="D93" s="12">
        <v>1065997</v>
      </c>
      <c r="E93" s="15">
        <v>45815</v>
      </c>
    </row>
    <row r="94" spans="1:5" x14ac:dyDescent="0.35">
      <c r="A94" s="13" t="s">
        <v>6</v>
      </c>
      <c r="B94" s="14">
        <v>13395811</v>
      </c>
      <c r="C94" s="14">
        <v>8109917</v>
      </c>
      <c r="D94" s="14">
        <v>5285894</v>
      </c>
      <c r="E94" s="15">
        <v>45577</v>
      </c>
    </row>
    <row r="95" spans="1:5" x14ac:dyDescent="0.35">
      <c r="A95" s="11" t="s">
        <v>4</v>
      </c>
      <c r="B95" s="12">
        <v>6641746</v>
      </c>
      <c r="C95" s="12">
        <v>2466037</v>
      </c>
      <c r="D95" s="12">
        <v>4175709</v>
      </c>
      <c r="E95" s="15">
        <v>45804</v>
      </c>
    </row>
    <row r="96" spans="1:5" x14ac:dyDescent="0.35">
      <c r="A96" s="13" t="s">
        <v>4</v>
      </c>
      <c r="B96" s="14">
        <v>6641746</v>
      </c>
      <c r="C96" s="14">
        <v>2466037</v>
      </c>
      <c r="D96" s="14">
        <v>4175709</v>
      </c>
      <c r="E96" s="15">
        <v>45438</v>
      </c>
    </row>
    <row r="97" spans="1:5" x14ac:dyDescent="0.35">
      <c r="A97" s="11" t="s">
        <v>6</v>
      </c>
      <c r="B97" s="12">
        <v>10422659</v>
      </c>
      <c r="C97" s="12">
        <v>8777125</v>
      </c>
      <c r="D97" s="12">
        <v>1645534</v>
      </c>
      <c r="E97" s="15">
        <v>45722</v>
      </c>
    </row>
    <row r="98" spans="1:5" x14ac:dyDescent="0.35">
      <c r="A98" s="13" t="s">
        <v>4</v>
      </c>
      <c r="B98" s="14">
        <v>6629660</v>
      </c>
      <c r="C98" s="14">
        <v>3523400</v>
      </c>
      <c r="D98" s="14">
        <v>3106260</v>
      </c>
      <c r="E98" s="15">
        <v>45611</v>
      </c>
    </row>
    <row r="99" spans="1:5" x14ac:dyDescent="0.35">
      <c r="A99" s="11" t="s">
        <v>4</v>
      </c>
      <c r="B99" s="12">
        <v>10887632</v>
      </c>
      <c r="C99" s="12">
        <v>3314932</v>
      </c>
      <c r="D99" s="12">
        <v>7572700</v>
      </c>
      <c r="E99" s="15">
        <v>45697</v>
      </c>
    </row>
    <row r="100" spans="1:5" x14ac:dyDescent="0.35">
      <c r="A100" s="13" t="s">
        <v>6</v>
      </c>
      <c r="B100" s="14">
        <v>10655734</v>
      </c>
      <c r="C100" s="14">
        <v>2408508</v>
      </c>
      <c r="D100" s="14">
        <v>8247226</v>
      </c>
      <c r="E100" s="15">
        <v>45778</v>
      </c>
    </row>
    <row r="101" spans="1:5" x14ac:dyDescent="0.35">
      <c r="A101" s="11" t="s">
        <v>4</v>
      </c>
      <c r="B101" s="12">
        <v>10932582</v>
      </c>
      <c r="C101" s="12">
        <v>9516586</v>
      </c>
      <c r="D101" s="12">
        <v>1415996</v>
      </c>
      <c r="E101" s="15">
        <v>45400</v>
      </c>
    </row>
    <row r="102" spans="1:5" x14ac:dyDescent="0.35">
      <c r="A102" s="13" t="s">
        <v>6</v>
      </c>
      <c r="B102" s="14">
        <v>8925622</v>
      </c>
      <c r="C102" s="14">
        <v>7859625</v>
      </c>
      <c r="D102" s="14">
        <v>1065997</v>
      </c>
    </row>
    <row r="103" spans="1:5" x14ac:dyDescent="0.35">
      <c r="A103" s="11" t="s">
        <v>6</v>
      </c>
      <c r="B103" s="12">
        <v>9166769</v>
      </c>
      <c r="C103" s="12">
        <v>7049977</v>
      </c>
      <c r="D103" s="12">
        <v>2116792</v>
      </c>
      <c r="E103" s="15">
        <v>45522</v>
      </c>
    </row>
    <row r="104" spans="1:5" x14ac:dyDescent="0.35">
      <c r="A104" s="13" t="s">
        <v>6</v>
      </c>
      <c r="B104" s="14">
        <v>13243123</v>
      </c>
      <c r="C104" s="14">
        <v>5468428</v>
      </c>
      <c r="D104" s="14">
        <v>7774695</v>
      </c>
      <c r="E104" s="15">
        <v>45565</v>
      </c>
    </row>
    <row r="105" spans="1:5" x14ac:dyDescent="0.35">
      <c r="A105" s="11" t="s">
        <v>4</v>
      </c>
      <c r="B105" s="12">
        <v>5297234</v>
      </c>
      <c r="C105" s="12">
        <v>3596622</v>
      </c>
      <c r="D105" s="12">
        <v>1700612</v>
      </c>
    </row>
    <row r="106" spans="1:5" x14ac:dyDescent="0.35">
      <c r="A106" s="13" t="s">
        <v>4</v>
      </c>
      <c r="B106" s="14">
        <v>6641746</v>
      </c>
      <c r="C106" s="14">
        <v>2466037</v>
      </c>
      <c r="D106" s="14">
        <v>4175709</v>
      </c>
      <c r="E106" s="15">
        <v>45700</v>
      </c>
    </row>
    <row r="107" spans="1:5" x14ac:dyDescent="0.35">
      <c r="A107" s="11" t="s">
        <v>6</v>
      </c>
      <c r="B107" s="12">
        <v>9406634</v>
      </c>
      <c r="C107" s="12">
        <v>1310092</v>
      </c>
      <c r="D107" s="12">
        <v>8096542</v>
      </c>
    </row>
    <row r="108" spans="1:5" x14ac:dyDescent="0.35">
      <c r="A108" s="13" t="s">
        <v>4</v>
      </c>
      <c r="B108" s="14">
        <v>2093322</v>
      </c>
      <c r="C108" s="14">
        <v>846252</v>
      </c>
      <c r="D108" s="14">
        <v>1247070</v>
      </c>
      <c r="E108" s="15">
        <v>45724</v>
      </c>
    </row>
    <row r="109" spans="1:5" x14ac:dyDescent="0.35">
      <c r="A109" s="11" t="s">
        <v>4</v>
      </c>
      <c r="B109" s="12">
        <v>2093322</v>
      </c>
      <c r="C109" s="12">
        <v>846252</v>
      </c>
      <c r="D109" s="12">
        <v>1247070</v>
      </c>
      <c r="E109" s="15">
        <v>45957</v>
      </c>
    </row>
    <row r="110" spans="1:5" x14ac:dyDescent="0.35">
      <c r="A110" s="13" t="s">
        <v>4</v>
      </c>
      <c r="B110" s="14">
        <v>7684666</v>
      </c>
      <c r="C110" s="14">
        <v>5053533</v>
      </c>
      <c r="D110" s="14">
        <v>2631133</v>
      </c>
      <c r="E110" s="15">
        <v>45592</v>
      </c>
    </row>
    <row r="111" spans="1:5" x14ac:dyDescent="0.35">
      <c r="A111" s="11" t="s">
        <v>4</v>
      </c>
      <c r="B111" s="12">
        <v>2093322</v>
      </c>
      <c r="C111" s="12">
        <v>846252</v>
      </c>
      <c r="D111" s="12">
        <v>1247070</v>
      </c>
      <c r="E111" s="15">
        <v>45910</v>
      </c>
    </row>
    <row r="112" spans="1:5" x14ac:dyDescent="0.35">
      <c r="A112" s="13" t="s">
        <v>6</v>
      </c>
      <c r="B112" s="14">
        <v>8925622</v>
      </c>
      <c r="C112" s="14">
        <v>7859625</v>
      </c>
      <c r="D112" s="14">
        <v>1065997</v>
      </c>
      <c r="E112" s="15">
        <v>45723</v>
      </c>
    </row>
    <row r="113" spans="1:5" x14ac:dyDescent="0.35">
      <c r="A113" s="11" t="s">
        <v>4</v>
      </c>
      <c r="B113" s="12">
        <v>7713630</v>
      </c>
      <c r="C113" s="12">
        <v>1832250</v>
      </c>
      <c r="D113" s="12">
        <v>5881380</v>
      </c>
    </row>
    <row r="114" spans="1:5" x14ac:dyDescent="0.35">
      <c r="A114" s="13" t="s">
        <v>4</v>
      </c>
      <c r="B114" s="14">
        <v>9814492</v>
      </c>
      <c r="C114" s="14">
        <v>5074629</v>
      </c>
      <c r="D114" s="14">
        <v>4739863</v>
      </c>
      <c r="E114" s="15">
        <v>45614</v>
      </c>
    </row>
    <row r="115" spans="1:5" x14ac:dyDescent="0.35">
      <c r="A115" s="11" t="s">
        <v>6</v>
      </c>
      <c r="B115" s="12">
        <v>6659621</v>
      </c>
      <c r="C115" s="12">
        <v>5718412</v>
      </c>
      <c r="D115" s="12">
        <v>941209</v>
      </c>
      <c r="E115" s="15">
        <v>45857</v>
      </c>
    </row>
    <row r="116" spans="1:5" x14ac:dyDescent="0.35">
      <c r="A116" s="13" t="s">
        <v>6</v>
      </c>
      <c r="B116" s="14">
        <v>12433378</v>
      </c>
      <c r="C116" s="14">
        <v>3398230</v>
      </c>
      <c r="D116" s="14">
        <v>9035148</v>
      </c>
      <c r="E116" s="15">
        <v>45313</v>
      </c>
    </row>
    <row r="117" spans="1:5" x14ac:dyDescent="0.35">
      <c r="A117" s="11" t="s">
        <v>4</v>
      </c>
      <c r="B117" s="12">
        <v>7409657</v>
      </c>
      <c r="C117" s="12">
        <v>6271336</v>
      </c>
      <c r="D117" s="12">
        <v>1138321</v>
      </c>
      <c r="E117" s="15">
        <v>45913</v>
      </c>
    </row>
    <row r="118" spans="1:5" x14ac:dyDescent="0.35">
      <c r="A118" s="13" t="s">
        <v>6</v>
      </c>
      <c r="B118" s="14">
        <v>8925622</v>
      </c>
      <c r="C118" s="14">
        <v>7859625</v>
      </c>
      <c r="D118" s="14">
        <v>1065997</v>
      </c>
      <c r="E118" s="15">
        <v>45433</v>
      </c>
    </row>
    <row r="119" spans="1:5" x14ac:dyDescent="0.35">
      <c r="A119" s="11" t="s">
        <v>4</v>
      </c>
      <c r="B119" s="12">
        <v>7409657</v>
      </c>
      <c r="C119" s="12">
        <v>6271336</v>
      </c>
      <c r="D119" s="12">
        <v>1138321</v>
      </c>
      <c r="E119" s="15">
        <v>45576</v>
      </c>
    </row>
    <row r="120" spans="1:5" x14ac:dyDescent="0.35">
      <c r="A120" s="13" t="s">
        <v>6</v>
      </c>
      <c r="B120" s="14">
        <v>13395142</v>
      </c>
      <c r="C120" s="14">
        <v>3866714</v>
      </c>
      <c r="D120" s="14">
        <v>9528428</v>
      </c>
      <c r="E120" s="15">
        <v>45302</v>
      </c>
    </row>
    <row r="121" spans="1:5" x14ac:dyDescent="0.35">
      <c r="A121" s="11" t="s">
        <v>6</v>
      </c>
      <c r="B121" s="12">
        <v>10422659</v>
      </c>
      <c r="C121" s="12">
        <v>8777125</v>
      </c>
      <c r="D121" s="12">
        <v>1645534</v>
      </c>
      <c r="E121" s="15">
        <v>45415</v>
      </c>
    </row>
    <row r="122" spans="1:5" x14ac:dyDescent="0.35">
      <c r="A122" s="13" t="s">
        <v>6</v>
      </c>
      <c r="B122" s="14">
        <v>13395142</v>
      </c>
      <c r="C122" s="14">
        <v>3866714</v>
      </c>
      <c r="D122" s="14">
        <v>9528428</v>
      </c>
      <c r="E122" s="15">
        <v>45942</v>
      </c>
    </row>
    <row r="123" spans="1:5" x14ac:dyDescent="0.35">
      <c r="A123" s="11" t="s">
        <v>6</v>
      </c>
      <c r="B123" s="12">
        <v>10655734</v>
      </c>
      <c r="C123" s="12">
        <v>2408508</v>
      </c>
      <c r="D123" s="12">
        <v>8247226</v>
      </c>
      <c r="E123" s="15">
        <v>45298</v>
      </c>
    </row>
    <row r="124" spans="1:5" x14ac:dyDescent="0.35">
      <c r="A124" s="13" t="s">
        <v>4</v>
      </c>
      <c r="B124" s="14">
        <v>5297234</v>
      </c>
      <c r="C124" s="14">
        <v>3596622</v>
      </c>
      <c r="D124" s="14">
        <v>1700612</v>
      </c>
      <c r="E124" s="15">
        <v>45969</v>
      </c>
    </row>
    <row r="125" spans="1:5" x14ac:dyDescent="0.35">
      <c r="A125" s="11" t="s">
        <v>4</v>
      </c>
      <c r="B125" s="12">
        <v>3115955</v>
      </c>
      <c r="C125" s="12">
        <v>2888010</v>
      </c>
      <c r="D125" s="12">
        <v>227945</v>
      </c>
      <c r="E125" s="15">
        <v>45324</v>
      </c>
    </row>
    <row r="126" spans="1:5" x14ac:dyDescent="0.35">
      <c r="A126" s="13" t="s">
        <v>4</v>
      </c>
      <c r="B126" s="14">
        <v>6641746</v>
      </c>
      <c r="C126" s="14">
        <v>2466037</v>
      </c>
      <c r="D126" s="14">
        <v>4175709</v>
      </c>
      <c r="E126" s="15">
        <v>45351</v>
      </c>
    </row>
    <row r="127" spans="1:5" x14ac:dyDescent="0.35">
      <c r="A127" s="11" t="s">
        <v>6</v>
      </c>
      <c r="B127" s="12">
        <v>13395142</v>
      </c>
      <c r="C127" s="12">
        <v>3866714</v>
      </c>
      <c r="D127" s="12">
        <v>9528428</v>
      </c>
      <c r="E127" s="15">
        <v>45771</v>
      </c>
    </row>
    <row r="128" spans="1:5" x14ac:dyDescent="0.35">
      <c r="A128" s="13" t="s">
        <v>6</v>
      </c>
      <c r="B128" s="14">
        <v>13395142</v>
      </c>
      <c r="C128" s="14">
        <v>3866714</v>
      </c>
      <c r="D128" s="14">
        <v>9528428</v>
      </c>
    </row>
    <row r="129" spans="1:5" x14ac:dyDescent="0.35">
      <c r="A129" s="11" t="s">
        <v>6</v>
      </c>
      <c r="B129" s="12">
        <v>9406634</v>
      </c>
      <c r="C129" s="12">
        <v>1310092</v>
      </c>
      <c r="D129" s="12">
        <v>8096542</v>
      </c>
      <c r="E129" s="15">
        <v>45679</v>
      </c>
    </row>
    <row r="130" spans="1:5" x14ac:dyDescent="0.35">
      <c r="A130" s="13" t="s">
        <v>4</v>
      </c>
      <c r="B130" s="14">
        <v>9869633</v>
      </c>
      <c r="C130" s="14">
        <v>8708702</v>
      </c>
      <c r="D130" s="14">
        <v>1160931</v>
      </c>
      <c r="E130" s="15">
        <v>45467</v>
      </c>
    </row>
    <row r="131" spans="1:5" x14ac:dyDescent="0.35">
      <c r="A131" s="11" t="s">
        <v>6</v>
      </c>
      <c r="B131" s="12">
        <v>17872796</v>
      </c>
      <c r="C131" s="12">
        <v>4065021</v>
      </c>
      <c r="D131" s="12">
        <v>13807775</v>
      </c>
      <c r="E131" s="15">
        <v>45756</v>
      </c>
    </row>
    <row r="132" spans="1:5" x14ac:dyDescent="0.35">
      <c r="A132" s="13" t="s">
        <v>4</v>
      </c>
      <c r="B132" s="14">
        <v>7409657</v>
      </c>
      <c r="C132" s="14">
        <v>6271336</v>
      </c>
      <c r="D132" s="14">
        <v>1138321</v>
      </c>
      <c r="E132" s="15">
        <v>45905</v>
      </c>
    </row>
    <row r="133" spans="1:5" x14ac:dyDescent="0.35">
      <c r="A133" s="11" t="s">
        <v>6</v>
      </c>
      <c r="B133" s="12">
        <v>13395811</v>
      </c>
      <c r="C133" s="12">
        <v>8109917</v>
      </c>
      <c r="D133" s="12">
        <v>5285894</v>
      </c>
      <c r="E133" s="15">
        <v>45317</v>
      </c>
    </row>
    <row r="134" spans="1:5" x14ac:dyDescent="0.35">
      <c r="A134" s="13" t="s">
        <v>4</v>
      </c>
      <c r="B134" s="14">
        <v>3115955</v>
      </c>
      <c r="C134" s="14">
        <v>2888010</v>
      </c>
      <c r="D134" s="14">
        <v>227945</v>
      </c>
      <c r="E134" s="15">
        <v>45568</v>
      </c>
    </row>
    <row r="135" spans="1:5" x14ac:dyDescent="0.35">
      <c r="A135" s="11" t="s">
        <v>6</v>
      </c>
      <c r="B135" s="12">
        <v>17772619</v>
      </c>
      <c r="C135" s="12">
        <v>3751148</v>
      </c>
      <c r="D135" s="12">
        <v>14021471</v>
      </c>
      <c r="E135" s="15">
        <v>45527</v>
      </c>
    </row>
    <row r="136" spans="1:5" x14ac:dyDescent="0.35">
      <c r="A136" s="13" t="s">
        <v>6</v>
      </c>
      <c r="B136" s="14">
        <v>13243123</v>
      </c>
      <c r="C136" s="14">
        <v>5468428</v>
      </c>
      <c r="D136" s="14">
        <v>7774695</v>
      </c>
      <c r="E136" s="15">
        <v>45563</v>
      </c>
    </row>
    <row r="137" spans="1:5" x14ac:dyDescent="0.35">
      <c r="A137" s="11" t="s">
        <v>6</v>
      </c>
      <c r="B137" s="12">
        <v>13395811</v>
      </c>
      <c r="C137" s="12">
        <v>8109917</v>
      </c>
      <c r="D137" s="12">
        <v>5285894</v>
      </c>
      <c r="E137" s="15">
        <v>45561</v>
      </c>
    </row>
    <row r="138" spans="1:5" x14ac:dyDescent="0.35">
      <c r="A138" s="13" t="s">
        <v>4</v>
      </c>
      <c r="B138" s="14">
        <v>10887632</v>
      </c>
      <c r="C138" s="14">
        <v>3314932</v>
      </c>
      <c r="D138" s="14">
        <v>7572700</v>
      </c>
      <c r="E138" s="15">
        <v>45542</v>
      </c>
    </row>
    <row r="139" spans="1:5" x14ac:dyDescent="0.35">
      <c r="A139" s="11" t="s">
        <v>4</v>
      </c>
      <c r="B139" s="12">
        <v>3115955</v>
      </c>
      <c r="C139" s="12">
        <v>2888010</v>
      </c>
      <c r="D139" s="12">
        <v>227945</v>
      </c>
    </row>
    <row r="140" spans="1:5" x14ac:dyDescent="0.35">
      <c r="A140" s="13" t="s">
        <v>6</v>
      </c>
      <c r="B140" s="14">
        <v>17872796</v>
      </c>
      <c r="C140" s="14">
        <v>4065021</v>
      </c>
      <c r="D140" s="14">
        <v>13807775</v>
      </c>
      <c r="E140" s="15">
        <v>45818</v>
      </c>
    </row>
    <row r="141" spans="1:5" x14ac:dyDescent="0.35">
      <c r="A141" s="11" t="s">
        <v>4</v>
      </c>
      <c r="B141" s="12">
        <v>3115955</v>
      </c>
      <c r="C141" s="12">
        <v>2888010</v>
      </c>
      <c r="D141" s="12">
        <v>227945</v>
      </c>
      <c r="E141" s="15">
        <v>45474</v>
      </c>
    </row>
    <row r="142" spans="1:5" x14ac:dyDescent="0.35">
      <c r="A142" s="13" t="s">
        <v>6</v>
      </c>
      <c r="B142" s="14">
        <v>17872796</v>
      </c>
      <c r="C142" s="14">
        <v>4065021</v>
      </c>
      <c r="D142" s="14">
        <v>13807775</v>
      </c>
      <c r="E142" s="15">
        <v>45932</v>
      </c>
    </row>
    <row r="143" spans="1:5" x14ac:dyDescent="0.35">
      <c r="A143" s="11" t="s">
        <v>6</v>
      </c>
      <c r="B143" s="12">
        <v>13395142</v>
      </c>
      <c r="C143" s="12">
        <v>3866714</v>
      </c>
      <c r="D143" s="12">
        <v>9528428</v>
      </c>
      <c r="E143" s="15">
        <v>45996</v>
      </c>
    </row>
    <row r="144" spans="1:5" x14ac:dyDescent="0.35">
      <c r="A144" s="13" t="s">
        <v>6</v>
      </c>
      <c r="B144" s="14">
        <v>17772619</v>
      </c>
      <c r="C144" s="14">
        <v>3751148</v>
      </c>
      <c r="D144" s="14">
        <v>14021471</v>
      </c>
      <c r="E144" s="15">
        <v>45883</v>
      </c>
    </row>
    <row r="145" spans="1:5" x14ac:dyDescent="0.35">
      <c r="A145" s="11" t="s">
        <v>6</v>
      </c>
      <c r="B145" s="12">
        <v>9166769</v>
      </c>
      <c r="C145" s="12">
        <v>7049977</v>
      </c>
      <c r="D145" s="12">
        <v>2116792</v>
      </c>
      <c r="E145" s="15">
        <v>45889</v>
      </c>
    </row>
    <row r="146" spans="1:5" x14ac:dyDescent="0.35">
      <c r="A146" s="13" t="s">
        <v>6</v>
      </c>
      <c r="B146" s="14">
        <v>17772619</v>
      </c>
      <c r="C146" s="14">
        <v>3751148</v>
      </c>
      <c r="D146" s="14">
        <v>14021471</v>
      </c>
      <c r="E146" s="15">
        <v>45292</v>
      </c>
    </row>
    <row r="147" spans="1:5" x14ac:dyDescent="0.35">
      <c r="A147" s="11" t="s">
        <v>4</v>
      </c>
      <c r="B147" s="12">
        <v>2093322</v>
      </c>
      <c r="C147" s="12">
        <v>846252</v>
      </c>
      <c r="D147" s="12">
        <v>1247070</v>
      </c>
      <c r="E147" s="15">
        <v>45630</v>
      </c>
    </row>
    <row r="148" spans="1:5" x14ac:dyDescent="0.35">
      <c r="A148" s="13" t="s">
        <v>6</v>
      </c>
      <c r="B148" s="14">
        <v>8925622</v>
      </c>
      <c r="C148" s="14">
        <v>7859625</v>
      </c>
      <c r="D148" s="14">
        <v>1065997</v>
      </c>
      <c r="E148" s="15">
        <v>45925</v>
      </c>
    </row>
    <row r="149" spans="1:5" x14ac:dyDescent="0.35">
      <c r="A149" s="11" t="s">
        <v>6</v>
      </c>
      <c r="B149" s="12">
        <v>13395142</v>
      </c>
      <c r="C149" s="12">
        <v>3866714</v>
      </c>
      <c r="D149" s="12">
        <v>9528428</v>
      </c>
      <c r="E149" s="15">
        <v>45998</v>
      </c>
    </row>
    <row r="150" spans="1:5" x14ac:dyDescent="0.35">
      <c r="A150" s="13" t="s">
        <v>6</v>
      </c>
      <c r="B150" s="14">
        <v>10655734</v>
      </c>
      <c r="C150" s="14">
        <v>2408508</v>
      </c>
      <c r="D150" s="14">
        <v>8247226</v>
      </c>
      <c r="E150" s="15">
        <v>45978</v>
      </c>
    </row>
    <row r="151" spans="1:5" x14ac:dyDescent="0.35">
      <c r="A151" s="11" t="s">
        <v>6</v>
      </c>
      <c r="B151" s="12">
        <v>10655734</v>
      </c>
      <c r="C151" s="12">
        <v>2408508</v>
      </c>
      <c r="D151" s="12">
        <v>8247226</v>
      </c>
      <c r="E151" s="15">
        <v>45662</v>
      </c>
    </row>
    <row r="152" spans="1:5" x14ac:dyDescent="0.35">
      <c r="A152" s="13" t="s">
        <v>4</v>
      </c>
      <c r="B152" s="14">
        <v>10932582</v>
      </c>
      <c r="C152" s="14">
        <v>9516586</v>
      </c>
      <c r="D152" s="14">
        <v>1415996</v>
      </c>
      <c r="E152" s="15">
        <v>45576</v>
      </c>
    </row>
    <row r="153" spans="1:5" x14ac:dyDescent="0.35">
      <c r="A153" s="11" t="s">
        <v>4</v>
      </c>
      <c r="B153" s="12">
        <v>7713630</v>
      </c>
      <c r="C153" s="12">
        <v>1832250</v>
      </c>
      <c r="D153" s="12">
        <v>5881380</v>
      </c>
      <c r="E153" s="15">
        <v>45352</v>
      </c>
    </row>
    <row r="154" spans="1:5" x14ac:dyDescent="0.35">
      <c r="A154" s="13" t="s">
        <v>6</v>
      </c>
      <c r="B154" s="14">
        <v>6659621</v>
      </c>
      <c r="C154" s="14">
        <v>5718412</v>
      </c>
      <c r="D154" s="14">
        <v>941209</v>
      </c>
      <c r="E154" s="15">
        <v>45576</v>
      </c>
    </row>
    <row r="155" spans="1:5" x14ac:dyDescent="0.35">
      <c r="A155" s="11" t="s">
        <v>6</v>
      </c>
      <c r="B155" s="12">
        <v>10422659</v>
      </c>
      <c r="C155" s="12">
        <v>8777125</v>
      </c>
      <c r="D155" s="12">
        <v>1645534</v>
      </c>
      <c r="E155" s="15">
        <v>45517</v>
      </c>
    </row>
    <row r="156" spans="1:5" x14ac:dyDescent="0.35">
      <c r="A156" s="13" t="s">
        <v>4</v>
      </c>
      <c r="B156" s="14">
        <v>6629660</v>
      </c>
      <c r="C156" s="14">
        <v>3523400</v>
      </c>
      <c r="D156" s="14">
        <v>3106260</v>
      </c>
      <c r="E156" s="15">
        <v>45872</v>
      </c>
    </row>
    <row r="157" spans="1:5" x14ac:dyDescent="0.35">
      <c r="A157" s="11" t="s">
        <v>6</v>
      </c>
      <c r="B157" s="12">
        <v>6659621</v>
      </c>
      <c r="C157" s="12">
        <v>5718412</v>
      </c>
      <c r="D157" s="12">
        <v>941209</v>
      </c>
      <c r="E157" s="15">
        <v>45448</v>
      </c>
    </row>
    <row r="158" spans="1:5" x14ac:dyDescent="0.35">
      <c r="A158" s="13" t="s">
        <v>4</v>
      </c>
      <c r="B158" s="14">
        <v>7409657</v>
      </c>
      <c r="C158" s="14">
        <v>6271336</v>
      </c>
      <c r="D158" s="14">
        <v>1138321</v>
      </c>
      <c r="E158" s="15">
        <v>45872</v>
      </c>
    </row>
    <row r="159" spans="1:5" x14ac:dyDescent="0.35">
      <c r="A159" s="11" t="s">
        <v>4</v>
      </c>
      <c r="B159" s="12">
        <v>6641746</v>
      </c>
      <c r="C159" s="12">
        <v>2466037</v>
      </c>
      <c r="D159" s="12">
        <v>4175709</v>
      </c>
      <c r="E159" s="15">
        <v>45530</v>
      </c>
    </row>
    <row r="160" spans="1:5" x14ac:dyDescent="0.35">
      <c r="A160" s="13" t="s">
        <v>4</v>
      </c>
      <c r="B160" s="14">
        <v>7409657</v>
      </c>
      <c r="C160" s="14">
        <v>6271336</v>
      </c>
      <c r="D160" s="14">
        <v>1138321</v>
      </c>
      <c r="E160" s="15">
        <v>45724</v>
      </c>
    </row>
    <row r="161" spans="1:5" x14ac:dyDescent="0.35">
      <c r="A161" s="11" t="s">
        <v>6</v>
      </c>
      <c r="B161" s="12">
        <v>9406634</v>
      </c>
      <c r="C161" s="12">
        <v>1310092</v>
      </c>
      <c r="D161" s="12">
        <v>8096542</v>
      </c>
      <c r="E161" s="15">
        <v>45730</v>
      </c>
    </row>
    <row r="162" spans="1:5" x14ac:dyDescent="0.35">
      <c r="A162" s="13" t="s">
        <v>6</v>
      </c>
      <c r="B162" s="14">
        <v>10655734</v>
      </c>
      <c r="C162" s="14">
        <v>2408508</v>
      </c>
      <c r="D162" s="14">
        <v>8247226</v>
      </c>
      <c r="E162" s="15">
        <v>45409</v>
      </c>
    </row>
    <row r="163" spans="1:5" x14ac:dyDescent="0.35">
      <c r="A163" s="11" t="s">
        <v>6</v>
      </c>
      <c r="B163" s="12">
        <v>10422659</v>
      </c>
      <c r="C163" s="12">
        <v>8777125</v>
      </c>
      <c r="D163" s="12">
        <v>1645534</v>
      </c>
      <c r="E163" s="15">
        <v>45419</v>
      </c>
    </row>
    <row r="164" spans="1:5" x14ac:dyDescent="0.35">
      <c r="A164" s="13" t="s">
        <v>4</v>
      </c>
      <c r="B164" s="14">
        <v>9814492</v>
      </c>
      <c r="C164" s="14">
        <v>5074629</v>
      </c>
      <c r="D164" s="14">
        <v>4739863</v>
      </c>
      <c r="E164" s="15">
        <v>45324</v>
      </c>
    </row>
    <row r="165" spans="1:5" x14ac:dyDescent="0.35">
      <c r="A165" s="11" t="s">
        <v>4</v>
      </c>
      <c r="B165" s="12">
        <v>10932582</v>
      </c>
      <c r="C165" s="12">
        <v>9516586</v>
      </c>
      <c r="D165" s="12">
        <v>1415996</v>
      </c>
      <c r="E165" s="15">
        <v>45364</v>
      </c>
    </row>
    <row r="166" spans="1:5" x14ac:dyDescent="0.35">
      <c r="A166" s="13" t="s">
        <v>6</v>
      </c>
      <c r="B166" s="14">
        <v>8925622</v>
      </c>
      <c r="C166" s="14">
        <v>7859625</v>
      </c>
      <c r="D166" s="14">
        <v>1065997</v>
      </c>
      <c r="E166" s="15">
        <v>46006</v>
      </c>
    </row>
    <row r="167" spans="1:5" x14ac:dyDescent="0.35">
      <c r="A167" s="11" t="s">
        <v>6</v>
      </c>
      <c r="B167" s="12">
        <v>9406634</v>
      </c>
      <c r="C167" s="12">
        <v>1310092</v>
      </c>
      <c r="D167" s="12">
        <v>8096542</v>
      </c>
      <c r="E167" s="15">
        <v>45751</v>
      </c>
    </row>
    <row r="168" spans="1:5" x14ac:dyDescent="0.35">
      <c r="A168" s="13" t="s">
        <v>4</v>
      </c>
      <c r="B168" s="14">
        <v>5297234</v>
      </c>
      <c r="C168" s="14">
        <v>3596622</v>
      </c>
      <c r="D168" s="14">
        <v>1700612</v>
      </c>
      <c r="E168" s="15">
        <v>45515</v>
      </c>
    </row>
    <row r="169" spans="1:5" x14ac:dyDescent="0.35">
      <c r="A169" s="11" t="s">
        <v>4</v>
      </c>
      <c r="B169" s="12">
        <v>7684666</v>
      </c>
      <c r="C169" s="12">
        <v>5053533</v>
      </c>
      <c r="D169" s="12">
        <v>2631133</v>
      </c>
      <c r="E169" s="15">
        <v>45404</v>
      </c>
    </row>
    <row r="170" spans="1:5" x14ac:dyDescent="0.35">
      <c r="A170" s="13" t="s">
        <v>6</v>
      </c>
      <c r="B170" s="14">
        <v>6659621</v>
      </c>
      <c r="C170" s="14">
        <v>5718412</v>
      </c>
      <c r="D170" s="14">
        <v>941209</v>
      </c>
    </row>
    <row r="171" spans="1:5" x14ac:dyDescent="0.35">
      <c r="A171" s="11" t="s">
        <v>4</v>
      </c>
      <c r="B171" s="12">
        <v>10887632</v>
      </c>
      <c r="C171" s="12">
        <v>3314932</v>
      </c>
      <c r="D171" s="12">
        <v>7572700</v>
      </c>
      <c r="E171" s="15">
        <v>45386</v>
      </c>
    </row>
    <row r="172" spans="1:5" x14ac:dyDescent="0.35">
      <c r="A172" s="13" t="s">
        <v>6</v>
      </c>
      <c r="B172" s="14">
        <v>17872796</v>
      </c>
      <c r="C172" s="14">
        <v>4065021</v>
      </c>
      <c r="D172" s="14">
        <v>13807775</v>
      </c>
      <c r="E172" s="15">
        <v>45379</v>
      </c>
    </row>
    <row r="173" spans="1:5" x14ac:dyDescent="0.35">
      <c r="A173" s="11" t="s">
        <v>6</v>
      </c>
      <c r="B173" s="12">
        <v>17872796</v>
      </c>
      <c r="C173" s="12">
        <v>4065021</v>
      </c>
      <c r="D173" s="12">
        <v>13807775</v>
      </c>
    </row>
    <row r="174" spans="1:5" x14ac:dyDescent="0.35">
      <c r="A174" s="13" t="s">
        <v>6</v>
      </c>
      <c r="B174" s="14">
        <v>10422659</v>
      </c>
      <c r="C174" s="14">
        <v>8777125</v>
      </c>
      <c r="D174" s="14">
        <v>1645534</v>
      </c>
      <c r="E174" s="15">
        <v>45549</v>
      </c>
    </row>
    <row r="175" spans="1:5" x14ac:dyDescent="0.35">
      <c r="A175" s="11" t="s">
        <v>4</v>
      </c>
      <c r="B175" s="12">
        <v>2093322</v>
      </c>
      <c r="C175" s="12">
        <v>846252</v>
      </c>
      <c r="D175" s="12">
        <v>1247070</v>
      </c>
    </row>
    <row r="176" spans="1:5" x14ac:dyDescent="0.35">
      <c r="A176" s="13" t="s">
        <v>6</v>
      </c>
      <c r="B176" s="14">
        <v>12433378</v>
      </c>
      <c r="C176" s="14">
        <v>3398230</v>
      </c>
      <c r="D176" s="14">
        <v>9035148</v>
      </c>
      <c r="E176" s="15">
        <v>45876</v>
      </c>
    </row>
    <row r="177" spans="1:5" x14ac:dyDescent="0.35">
      <c r="A177" s="11" t="s">
        <v>4</v>
      </c>
      <c r="B177" s="12">
        <v>9814492</v>
      </c>
      <c r="C177" s="12">
        <v>5074629</v>
      </c>
      <c r="D177" s="12">
        <v>4739863</v>
      </c>
      <c r="E177" s="15">
        <v>45406</v>
      </c>
    </row>
    <row r="178" spans="1:5" x14ac:dyDescent="0.35">
      <c r="A178" s="13" t="s">
        <v>6</v>
      </c>
      <c r="B178" s="14">
        <v>9406634</v>
      </c>
      <c r="C178" s="14">
        <v>1310092</v>
      </c>
      <c r="D178" s="14">
        <v>8096542</v>
      </c>
      <c r="E178" s="15">
        <v>45671</v>
      </c>
    </row>
    <row r="179" spans="1:5" x14ac:dyDescent="0.35">
      <c r="A179" s="11" t="s">
        <v>4</v>
      </c>
      <c r="B179" s="12">
        <v>10887632</v>
      </c>
      <c r="C179" s="12">
        <v>3314932</v>
      </c>
      <c r="D179" s="12">
        <v>7572700</v>
      </c>
      <c r="E179" s="15">
        <v>45938</v>
      </c>
    </row>
    <row r="180" spans="1:5" x14ac:dyDescent="0.35">
      <c r="A180" s="13" t="s">
        <v>6</v>
      </c>
      <c r="B180" s="14">
        <v>13243123</v>
      </c>
      <c r="C180" s="14">
        <v>5468428</v>
      </c>
      <c r="D180" s="14">
        <v>7774695</v>
      </c>
      <c r="E180" s="15">
        <v>45859</v>
      </c>
    </row>
    <row r="181" spans="1:5" x14ac:dyDescent="0.35">
      <c r="A181" s="11" t="s">
        <v>4</v>
      </c>
      <c r="B181" s="12">
        <v>9869633</v>
      </c>
      <c r="C181" s="12">
        <v>8708702</v>
      </c>
      <c r="D181" s="12">
        <v>1160931</v>
      </c>
      <c r="E181" s="15">
        <v>45364</v>
      </c>
    </row>
    <row r="182" spans="1:5" x14ac:dyDescent="0.35">
      <c r="A182" s="13" t="s">
        <v>6</v>
      </c>
      <c r="B182" s="14">
        <v>9166769</v>
      </c>
      <c r="C182" s="14">
        <v>7049977</v>
      </c>
      <c r="D182" s="14">
        <v>2116792</v>
      </c>
      <c r="E182" s="15">
        <v>45303</v>
      </c>
    </row>
    <row r="183" spans="1:5" x14ac:dyDescent="0.35">
      <c r="A183" s="11" t="s">
        <v>6</v>
      </c>
      <c r="B183" s="12">
        <v>10655734</v>
      </c>
      <c r="C183" s="12">
        <v>2408508</v>
      </c>
      <c r="D183" s="12">
        <v>8247226</v>
      </c>
      <c r="E183" s="15">
        <v>45674</v>
      </c>
    </row>
    <row r="184" spans="1:5" x14ac:dyDescent="0.35">
      <c r="A184" s="13" t="s">
        <v>4</v>
      </c>
      <c r="B184" s="14">
        <v>6629660</v>
      </c>
      <c r="C184" s="14">
        <v>3523400</v>
      </c>
      <c r="D184" s="14">
        <v>3106260</v>
      </c>
      <c r="E184" s="15">
        <v>45391</v>
      </c>
    </row>
    <row r="185" spans="1:5" x14ac:dyDescent="0.35">
      <c r="A185" s="11" t="s">
        <v>4</v>
      </c>
      <c r="B185" s="12">
        <v>10887632</v>
      </c>
      <c r="C185" s="12">
        <v>3314932</v>
      </c>
      <c r="D185" s="12">
        <v>7572700</v>
      </c>
      <c r="E185" s="15">
        <v>45530</v>
      </c>
    </row>
    <row r="186" spans="1:5" x14ac:dyDescent="0.35">
      <c r="A186" s="13" t="s">
        <v>4</v>
      </c>
      <c r="B186" s="14">
        <v>6641746</v>
      </c>
      <c r="C186" s="14">
        <v>2466037</v>
      </c>
      <c r="D186" s="14">
        <v>4175709</v>
      </c>
    </row>
    <row r="187" spans="1:5" x14ac:dyDescent="0.35">
      <c r="A187" s="11" t="s">
        <v>6</v>
      </c>
      <c r="B187" s="12">
        <v>12433378</v>
      </c>
      <c r="C187" s="12">
        <v>3398230</v>
      </c>
      <c r="D187" s="12">
        <v>9035148</v>
      </c>
      <c r="E187" s="15">
        <v>45984</v>
      </c>
    </row>
    <row r="188" spans="1:5" x14ac:dyDescent="0.35">
      <c r="A188" s="13" t="s">
        <v>4</v>
      </c>
      <c r="B188" s="14">
        <v>7684666</v>
      </c>
      <c r="C188" s="14">
        <v>5053533</v>
      </c>
      <c r="D188" s="14">
        <v>2631133</v>
      </c>
      <c r="E188" s="15">
        <v>45322</v>
      </c>
    </row>
    <row r="189" spans="1:5" x14ac:dyDescent="0.35">
      <c r="A189" s="11" t="s">
        <v>4</v>
      </c>
      <c r="B189" s="12">
        <v>2093322</v>
      </c>
      <c r="C189" s="12">
        <v>846252</v>
      </c>
      <c r="D189" s="12">
        <v>1247070</v>
      </c>
      <c r="E189" s="15">
        <v>45686</v>
      </c>
    </row>
    <row r="190" spans="1:5" x14ac:dyDescent="0.35">
      <c r="A190" s="13" t="s">
        <v>6</v>
      </c>
      <c r="B190" s="14">
        <v>17772619</v>
      </c>
      <c r="C190" s="14">
        <v>3751148</v>
      </c>
      <c r="D190" s="14">
        <v>14021471</v>
      </c>
      <c r="E190" s="15">
        <v>45508</v>
      </c>
    </row>
    <row r="191" spans="1:5" x14ac:dyDescent="0.35">
      <c r="A191" s="11" t="s">
        <v>6</v>
      </c>
      <c r="B191" s="12">
        <v>13395811</v>
      </c>
      <c r="C191" s="12">
        <v>8109917</v>
      </c>
      <c r="D191" s="12">
        <v>5285894</v>
      </c>
      <c r="E191" s="15">
        <v>45841</v>
      </c>
    </row>
    <row r="192" spans="1:5" x14ac:dyDescent="0.35">
      <c r="A192" s="13" t="s">
        <v>4</v>
      </c>
      <c r="B192" s="14">
        <v>3115955</v>
      </c>
      <c r="C192" s="14">
        <v>2888010</v>
      </c>
      <c r="D192" s="14">
        <v>227945</v>
      </c>
      <c r="E192" s="15">
        <v>45979</v>
      </c>
    </row>
    <row r="193" spans="1:5" x14ac:dyDescent="0.35">
      <c r="A193" s="11" t="s">
        <v>6</v>
      </c>
      <c r="B193" s="12">
        <v>6659621</v>
      </c>
      <c r="C193" s="12">
        <v>5718412</v>
      </c>
      <c r="D193" s="12">
        <v>941209</v>
      </c>
      <c r="E193" s="15">
        <v>45700</v>
      </c>
    </row>
    <row r="194" spans="1:5" x14ac:dyDescent="0.35">
      <c r="A194" s="13" t="s">
        <v>4</v>
      </c>
      <c r="B194" s="14">
        <v>6641746</v>
      </c>
      <c r="C194" s="14">
        <v>2466037</v>
      </c>
      <c r="D194" s="14">
        <v>4175709</v>
      </c>
      <c r="E194" s="15">
        <v>45361</v>
      </c>
    </row>
    <row r="195" spans="1:5" x14ac:dyDescent="0.35">
      <c r="A195" s="11" t="s">
        <v>4</v>
      </c>
      <c r="B195" s="12">
        <v>10887632</v>
      </c>
      <c r="C195" s="12">
        <v>3314932</v>
      </c>
      <c r="D195" s="12">
        <v>7572700</v>
      </c>
      <c r="E195" s="15">
        <v>45497</v>
      </c>
    </row>
    <row r="196" spans="1:5" x14ac:dyDescent="0.35">
      <c r="A196" s="13" t="s">
        <v>4</v>
      </c>
      <c r="B196" s="14">
        <v>7713630</v>
      </c>
      <c r="C196" s="14">
        <v>1832250</v>
      </c>
      <c r="D196" s="14">
        <v>5881380</v>
      </c>
      <c r="E196" s="15">
        <v>45459</v>
      </c>
    </row>
    <row r="197" spans="1:5" x14ac:dyDescent="0.35">
      <c r="A197" s="11" t="s">
        <v>6</v>
      </c>
      <c r="B197" s="12">
        <v>17872796</v>
      </c>
      <c r="C197" s="12">
        <v>4065021</v>
      </c>
      <c r="D197" s="12">
        <v>13807775</v>
      </c>
    </row>
    <row r="198" spans="1:5" x14ac:dyDescent="0.35">
      <c r="A198" s="13" t="s">
        <v>6</v>
      </c>
      <c r="B198" s="14">
        <v>10422659</v>
      </c>
      <c r="C198" s="14">
        <v>8777125</v>
      </c>
      <c r="D198" s="14">
        <v>1645534</v>
      </c>
      <c r="E198" s="15">
        <v>45977</v>
      </c>
    </row>
    <row r="199" spans="1:5" x14ac:dyDescent="0.35">
      <c r="A199" s="11" t="s">
        <v>6</v>
      </c>
      <c r="B199" s="12">
        <v>13395811</v>
      </c>
      <c r="C199" s="12">
        <v>8109917</v>
      </c>
      <c r="D199" s="12">
        <v>5285894</v>
      </c>
      <c r="E199" s="15">
        <v>45754</v>
      </c>
    </row>
    <row r="200" spans="1:5" x14ac:dyDescent="0.35">
      <c r="A200" s="13" t="s">
        <v>6</v>
      </c>
      <c r="B200" s="14">
        <v>17872796</v>
      </c>
      <c r="C200" s="14">
        <v>4065021</v>
      </c>
      <c r="D200" s="14">
        <v>13807775</v>
      </c>
      <c r="E200" s="15">
        <v>45740</v>
      </c>
    </row>
    <row r="201" spans="1:5" x14ac:dyDescent="0.35">
      <c r="A201" s="11" t="s">
        <v>4</v>
      </c>
      <c r="B201" s="12">
        <v>10887632</v>
      </c>
      <c r="C201" s="12">
        <v>3314932</v>
      </c>
      <c r="D201" s="12">
        <v>7572700</v>
      </c>
      <c r="E201" s="15">
        <v>45455</v>
      </c>
    </row>
    <row r="202" spans="1:5" x14ac:dyDescent="0.35">
      <c r="A202" s="13" t="s">
        <v>6</v>
      </c>
      <c r="B202" s="14">
        <v>13243123</v>
      </c>
      <c r="C202" s="14">
        <v>5468428</v>
      </c>
      <c r="D202" s="14">
        <v>7774695</v>
      </c>
    </row>
    <row r="203" spans="1:5" x14ac:dyDescent="0.35">
      <c r="A203" s="11" t="s">
        <v>4</v>
      </c>
      <c r="B203" s="12">
        <v>9814492</v>
      </c>
      <c r="C203" s="12">
        <v>5074629</v>
      </c>
      <c r="D203" s="12">
        <v>4739863</v>
      </c>
      <c r="E203" s="15">
        <v>45340</v>
      </c>
    </row>
    <row r="204" spans="1:5" x14ac:dyDescent="0.35">
      <c r="A204" s="13" t="s">
        <v>6</v>
      </c>
      <c r="B204" s="14">
        <v>6659621</v>
      </c>
      <c r="C204" s="14">
        <v>5718412</v>
      </c>
      <c r="D204" s="14">
        <v>941209</v>
      </c>
      <c r="E204" s="15">
        <v>45434</v>
      </c>
    </row>
    <row r="205" spans="1:5" x14ac:dyDescent="0.35">
      <c r="A205" s="11" t="s">
        <v>6</v>
      </c>
      <c r="B205" s="12">
        <v>10655734</v>
      </c>
      <c r="C205" s="12">
        <v>2408508</v>
      </c>
      <c r="D205" s="12">
        <v>8247226</v>
      </c>
      <c r="E205" s="15">
        <v>45396</v>
      </c>
    </row>
    <row r="206" spans="1:5" x14ac:dyDescent="0.35">
      <c r="A206" s="13" t="s">
        <v>4</v>
      </c>
      <c r="B206" s="14">
        <v>2093322</v>
      </c>
      <c r="C206" s="14">
        <v>846252</v>
      </c>
      <c r="D206" s="14">
        <v>1247070</v>
      </c>
      <c r="E206" s="15">
        <v>45495</v>
      </c>
    </row>
    <row r="207" spans="1:5" x14ac:dyDescent="0.35">
      <c r="A207" s="11" t="s">
        <v>6</v>
      </c>
      <c r="B207" s="12">
        <v>10422659</v>
      </c>
      <c r="C207" s="12">
        <v>8777125</v>
      </c>
      <c r="D207" s="12">
        <v>1645534</v>
      </c>
    </row>
    <row r="208" spans="1:5" x14ac:dyDescent="0.35">
      <c r="A208" s="13" t="s">
        <v>4</v>
      </c>
      <c r="B208" s="14">
        <v>9814492</v>
      </c>
      <c r="C208" s="14">
        <v>5074629</v>
      </c>
      <c r="D208" s="14">
        <v>4739863</v>
      </c>
      <c r="E208" s="15">
        <v>45623</v>
      </c>
    </row>
    <row r="209" spans="1:5" x14ac:dyDescent="0.35">
      <c r="A209" s="11" t="s">
        <v>4</v>
      </c>
      <c r="B209" s="12">
        <v>7409657</v>
      </c>
      <c r="C209" s="12">
        <v>6271336</v>
      </c>
      <c r="D209" s="12">
        <v>1138321</v>
      </c>
      <c r="E209" s="15">
        <v>45894</v>
      </c>
    </row>
    <row r="210" spans="1:5" x14ac:dyDescent="0.35">
      <c r="A210" s="13" t="s">
        <v>6</v>
      </c>
      <c r="B210" s="14">
        <v>12433378</v>
      </c>
      <c r="C210" s="14">
        <v>3398230</v>
      </c>
      <c r="D210" s="14">
        <v>9035148</v>
      </c>
      <c r="E210" s="15">
        <v>45565</v>
      </c>
    </row>
    <row r="211" spans="1:5" x14ac:dyDescent="0.35">
      <c r="A211" s="11" t="s">
        <v>6</v>
      </c>
      <c r="B211" s="12">
        <v>10422659</v>
      </c>
      <c r="C211" s="12">
        <v>8777125</v>
      </c>
      <c r="D211" s="12">
        <v>1645534</v>
      </c>
      <c r="E211" s="15">
        <v>45890</v>
      </c>
    </row>
    <row r="212" spans="1:5" x14ac:dyDescent="0.35">
      <c r="A212" s="13" t="s">
        <v>4</v>
      </c>
      <c r="B212" s="14">
        <v>7713630</v>
      </c>
      <c r="C212" s="14">
        <v>1832250</v>
      </c>
      <c r="D212" s="14">
        <v>5881380</v>
      </c>
    </row>
    <row r="213" spans="1:5" x14ac:dyDescent="0.35">
      <c r="A213" s="11" t="s">
        <v>6</v>
      </c>
      <c r="B213" s="12">
        <v>17872796</v>
      </c>
      <c r="C213" s="12">
        <v>4065021</v>
      </c>
      <c r="D213" s="12">
        <v>13807775</v>
      </c>
      <c r="E213" s="15">
        <v>46010</v>
      </c>
    </row>
    <row r="214" spans="1:5" x14ac:dyDescent="0.35">
      <c r="A214" s="13" t="s">
        <v>6</v>
      </c>
      <c r="B214" s="14">
        <v>9166769</v>
      </c>
      <c r="C214" s="14">
        <v>7049977</v>
      </c>
      <c r="D214" s="14">
        <v>2116792</v>
      </c>
      <c r="E214" s="15">
        <v>45526</v>
      </c>
    </row>
    <row r="215" spans="1:5" x14ac:dyDescent="0.35">
      <c r="A215" s="11" t="s">
        <v>6</v>
      </c>
      <c r="B215" s="12">
        <v>10422659</v>
      </c>
      <c r="C215" s="12">
        <v>8777125</v>
      </c>
      <c r="D215" s="12">
        <v>1645534</v>
      </c>
      <c r="E215" s="15">
        <v>45573</v>
      </c>
    </row>
    <row r="216" spans="1:5" x14ac:dyDescent="0.35">
      <c r="A216" s="13" t="s">
        <v>4</v>
      </c>
      <c r="B216" s="14">
        <v>6629660</v>
      </c>
      <c r="C216" s="14">
        <v>3523400</v>
      </c>
      <c r="D216" s="14">
        <v>3106260</v>
      </c>
      <c r="E216" s="15">
        <v>45878</v>
      </c>
    </row>
    <row r="217" spans="1:5" x14ac:dyDescent="0.35">
      <c r="A217" s="11" t="s">
        <v>4</v>
      </c>
      <c r="B217" s="12">
        <v>9869633</v>
      </c>
      <c r="C217" s="12">
        <v>8708702</v>
      </c>
      <c r="D217" s="12">
        <v>1160931</v>
      </c>
      <c r="E217" s="15">
        <v>45636</v>
      </c>
    </row>
    <row r="218" spans="1:5" x14ac:dyDescent="0.35">
      <c r="A218" s="13" t="s">
        <v>6</v>
      </c>
      <c r="B218" s="14">
        <v>10422659</v>
      </c>
      <c r="C218" s="14">
        <v>8777125</v>
      </c>
      <c r="D218" s="14">
        <v>1645534</v>
      </c>
      <c r="E218" s="15">
        <v>45458</v>
      </c>
    </row>
    <row r="219" spans="1:5" x14ac:dyDescent="0.35">
      <c r="A219" s="11" t="s">
        <v>4</v>
      </c>
      <c r="B219" s="12">
        <v>9869633</v>
      </c>
      <c r="C219" s="12">
        <v>8708702</v>
      </c>
      <c r="D219" s="12">
        <v>1160931</v>
      </c>
      <c r="E219" s="15">
        <v>45387</v>
      </c>
    </row>
    <row r="220" spans="1:5" x14ac:dyDescent="0.35">
      <c r="A220" s="13" t="s">
        <v>4</v>
      </c>
      <c r="B220" s="14">
        <v>9814492</v>
      </c>
      <c r="C220" s="14">
        <v>5074629</v>
      </c>
      <c r="D220" s="14">
        <v>4739863</v>
      </c>
      <c r="E220" s="15">
        <v>45510</v>
      </c>
    </row>
    <row r="221" spans="1:5" x14ac:dyDescent="0.35">
      <c r="A221" s="11" t="s">
        <v>4</v>
      </c>
      <c r="B221" s="12">
        <v>3115955</v>
      </c>
      <c r="C221" s="12">
        <v>2888010</v>
      </c>
      <c r="D221" s="12">
        <v>227945</v>
      </c>
    </row>
    <row r="222" spans="1:5" x14ac:dyDescent="0.35">
      <c r="A222" s="13" t="s">
        <v>6</v>
      </c>
      <c r="B222" s="14">
        <v>13243123</v>
      </c>
      <c r="C222" s="14">
        <v>5468428</v>
      </c>
      <c r="D222" s="14">
        <v>7774695</v>
      </c>
      <c r="E222" s="15">
        <v>45381</v>
      </c>
    </row>
    <row r="223" spans="1:5" x14ac:dyDescent="0.35">
      <c r="A223" s="11" t="s">
        <v>4</v>
      </c>
      <c r="B223" s="12">
        <v>3115955</v>
      </c>
      <c r="C223" s="12">
        <v>2888010</v>
      </c>
      <c r="D223" s="12">
        <v>227945</v>
      </c>
      <c r="E223" s="15">
        <v>45395</v>
      </c>
    </row>
    <row r="224" spans="1:5" x14ac:dyDescent="0.35">
      <c r="A224" s="13" t="s">
        <v>4</v>
      </c>
      <c r="B224" s="14">
        <v>7684666</v>
      </c>
      <c r="C224" s="14">
        <v>5053533</v>
      </c>
      <c r="D224" s="14">
        <v>2631133</v>
      </c>
      <c r="E224" s="15">
        <v>45942</v>
      </c>
    </row>
    <row r="225" spans="1:5" x14ac:dyDescent="0.35">
      <c r="A225" s="11" t="s">
        <v>4</v>
      </c>
      <c r="B225" s="12">
        <v>9869633</v>
      </c>
      <c r="C225" s="12">
        <v>8708702</v>
      </c>
      <c r="D225" s="12">
        <v>1160931</v>
      </c>
      <c r="E225" s="15">
        <v>45737</v>
      </c>
    </row>
    <row r="226" spans="1:5" x14ac:dyDescent="0.35">
      <c r="A226" s="13" t="s">
        <v>4</v>
      </c>
      <c r="B226" s="14">
        <v>7713630</v>
      </c>
      <c r="C226" s="14">
        <v>1832250</v>
      </c>
      <c r="D226" s="14">
        <v>5881380</v>
      </c>
      <c r="E226" s="15">
        <v>46022</v>
      </c>
    </row>
    <row r="227" spans="1:5" x14ac:dyDescent="0.35">
      <c r="A227" s="11" t="s">
        <v>6</v>
      </c>
      <c r="B227" s="12">
        <v>10655734</v>
      </c>
      <c r="C227" s="12">
        <v>2408508</v>
      </c>
      <c r="D227" s="12">
        <v>8247226</v>
      </c>
      <c r="E227" s="15">
        <v>45427</v>
      </c>
    </row>
    <row r="228" spans="1:5" x14ac:dyDescent="0.35">
      <c r="A228" s="13" t="s">
        <v>4</v>
      </c>
      <c r="B228" s="14">
        <v>7684666</v>
      </c>
      <c r="C228" s="14">
        <v>5053533</v>
      </c>
      <c r="D228" s="14">
        <v>2631133</v>
      </c>
      <c r="E228" s="15">
        <v>45299</v>
      </c>
    </row>
    <row r="229" spans="1:5" x14ac:dyDescent="0.35">
      <c r="A229" s="11" t="s">
        <v>6</v>
      </c>
      <c r="B229" s="12">
        <v>17872796</v>
      </c>
      <c r="C229" s="12">
        <v>4065021</v>
      </c>
      <c r="D229" s="12">
        <v>13807775</v>
      </c>
      <c r="E229" s="15">
        <v>45902</v>
      </c>
    </row>
    <row r="230" spans="1:5" x14ac:dyDescent="0.35">
      <c r="A230" s="13" t="s">
        <v>4</v>
      </c>
      <c r="B230" s="14">
        <v>10932582</v>
      </c>
      <c r="C230" s="14">
        <v>9516586</v>
      </c>
      <c r="D230" s="14">
        <v>1415996</v>
      </c>
      <c r="E230" s="15">
        <v>45674</v>
      </c>
    </row>
    <row r="231" spans="1:5" x14ac:dyDescent="0.35">
      <c r="A231" s="11" t="s">
        <v>4</v>
      </c>
      <c r="B231" s="12">
        <v>7713630</v>
      </c>
      <c r="C231" s="12">
        <v>1832250</v>
      </c>
      <c r="D231" s="12">
        <v>5881380</v>
      </c>
      <c r="E231" s="15">
        <v>45295</v>
      </c>
    </row>
    <row r="232" spans="1:5" x14ac:dyDescent="0.35">
      <c r="A232" s="13" t="s">
        <v>4</v>
      </c>
      <c r="B232" s="14">
        <v>5297234</v>
      </c>
      <c r="C232" s="14">
        <v>3596622</v>
      </c>
      <c r="D232" s="14">
        <v>1700612</v>
      </c>
      <c r="E232" s="15">
        <v>45838</v>
      </c>
    </row>
    <row r="233" spans="1:5" x14ac:dyDescent="0.35">
      <c r="A233" s="11" t="s">
        <v>6</v>
      </c>
      <c r="B233" s="12">
        <v>12433378</v>
      </c>
      <c r="C233" s="12">
        <v>3398230</v>
      </c>
      <c r="D233" s="12">
        <v>9035148</v>
      </c>
      <c r="E233" s="15">
        <v>45990</v>
      </c>
    </row>
    <row r="234" spans="1:5" x14ac:dyDescent="0.35">
      <c r="A234" s="13" t="s">
        <v>6</v>
      </c>
      <c r="B234" s="14">
        <v>13243123</v>
      </c>
      <c r="C234" s="14">
        <v>5468428</v>
      </c>
      <c r="D234" s="14">
        <v>7774695</v>
      </c>
      <c r="E234" s="15">
        <v>45783</v>
      </c>
    </row>
    <row r="235" spans="1:5" x14ac:dyDescent="0.35">
      <c r="A235" s="11" t="s">
        <v>4</v>
      </c>
      <c r="B235" s="12">
        <v>9814492</v>
      </c>
      <c r="C235" s="12">
        <v>5074629</v>
      </c>
      <c r="D235" s="12">
        <v>4739863</v>
      </c>
      <c r="E235" s="15">
        <v>45517</v>
      </c>
    </row>
    <row r="236" spans="1:5" x14ac:dyDescent="0.35">
      <c r="A236" s="13" t="s">
        <v>4</v>
      </c>
      <c r="B236" s="14">
        <v>6629660</v>
      </c>
      <c r="C236" s="14">
        <v>3523400</v>
      </c>
      <c r="D236" s="14">
        <v>3106260</v>
      </c>
      <c r="E236" s="15">
        <v>45331</v>
      </c>
    </row>
    <row r="237" spans="1:5" x14ac:dyDescent="0.35">
      <c r="A237" s="11" t="s">
        <v>6</v>
      </c>
      <c r="B237" s="12">
        <v>13395142</v>
      </c>
      <c r="C237" s="12">
        <v>3866714</v>
      </c>
      <c r="D237" s="12">
        <v>9528428</v>
      </c>
      <c r="E237" s="15">
        <v>45762</v>
      </c>
    </row>
    <row r="238" spans="1:5" x14ac:dyDescent="0.35">
      <c r="A238" s="13" t="s">
        <v>6</v>
      </c>
      <c r="B238" s="14">
        <v>17772619</v>
      </c>
      <c r="C238" s="14">
        <v>3751148</v>
      </c>
      <c r="D238" s="14">
        <v>14021471</v>
      </c>
      <c r="E238" s="15">
        <v>45797</v>
      </c>
    </row>
    <row r="239" spans="1:5" x14ac:dyDescent="0.35">
      <c r="A239" s="11" t="s">
        <v>6</v>
      </c>
      <c r="B239" s="12">
        <v>8925622</v>
      </c>
      <c r="C239" s="12">
        <v>7859625</v>
      </c>
      <c r="D239" s="12">
        <v>1065997</v>
      </c>
      <c r="E239" s="15">
        <v>45882</v>
      </c>
    </row>
    <row r="240" spans="1:5" x14ac:dyDescent="0.35">
      <c r="A240" s="13" t="s">
        <v>4</v>
      </c>
      <c r="B240" s="14">
        <v>7713630</v>
      </c>
      <c r="C240" s="14">
        <v>1832250</v>
      </c>
      <c r="D240" s="14">
        <v>5881380</v>
      </c>
      <c r="E240" s="15">
        <v>45588</v>
      </c>
    </row>
    <row r="241" spans="1:5" x14ac:dyDescent="0.35">
      <c r="A241" s="11" t="s">
        <v>4</v>
      </c>
      <c r="B241" s="12">
        <v>6641746</v>
      </c>
      <c r="C241" s="12">
        <v>2466037</v>
      </c>
      <c r="D241" s="12">
        <v>4175709</v>
      </c>
      <c r="E241" s="15">
        <v>45659</v>
      </c>
    </row>
    <row r="242" spans="1:5" x14ac:dyDescent="0.35">
      <c r="A242" s="13" t="s">
        <v>4</v>
      </c>
      <c r="B242" s="14">
        <v>7684666</v>
      </c>
      <c r="C242" s="14">
        <v>5053533</v>
      </c>
      <c r="D242" s="14">
        <v>2631133</v>
      </c>
      <c r="E242" s="15">
        <v>45390</v>
      </c>
    </row>
    <row r="243" spans="1:5" x14ac:dyDescent="0.35">
      <c r="A243" s="11" t="s">
        <v>6</v>
      </c>
      <c r="B243" s="12">
        <v>9406634</v>
      </c>
      <c r="C243" s="12">
        <v>1310092</v>
      </c>
      <c r="D243" s="12">
        <v>8096542</v>
      </c>
      <c r="E243" s="15">
        <v>45545</v>
      </c>
    </row>
    <row r="244" spans="1:5" x14ac:dyDescent="0.35">
      <c r="A244" s="13" t="s">
        <v>6</v>
      </c>
      <c r="B244" s="14">
        <v>9406634</v>
      </c>
      <c r="C244" s="14">
        <v>1310092</v>
      </c>
      <c r="D244" s="14">
        <v>8096542</v>
      </c>
      <c r="E244" s="15">
        <v>45915</v>
      </c>
    </row>
    <row r="245" spans="1:5" x14ac:dyDescent="0.35">
      <c r="A245" s="11" t="s">
        <v>4</v>
      </c>
      <c r="B245" s="12">
        <v>9869633</v>
      </c>
      <c r="C245" s="12">
        <v>8708702</v>
      </c>
      <c r="D245" s="12">
        <v>1160931</v>
      </c>
      <c r="E245" s="15">
        <v>45844</v>
      </c>
    </row>
    <row r="246" spans="1:5" x14ac:dyDescent="0.35">
      <c r="A246" s="13" t="s">
        <v>6</v>
      </c>
      <c r="B246" s="14">
        <v>10655734</v>
      </c>
      <c r="C246" s="14">
        <v>2408508</v>
      </c>
      <c r="D246" s="14">
        <v>8247226</v>
      </c>
      <c r="E246" s="15">
        <v>45615</v>
      </c>
    </row>
    <row r="247" spans="1:5" x14ac:dyDescent="0.35">
      <c r="A247" s="11" t="s">
        <v>4</v>
      </c>
      <c r="B247" s="12">
        <v>9869633</v>
      </c>
      <c r="C247" s="12">
        <v>8708702</v>
      </c>
      <c r="D247" s="12">
        <v>1160931</v>
      </c>
      <c r="E247" s="15">
        <v>45338</v>
      </c>
    </row>
    <row r="248" spans="1:5" x14ac:dyDescent="0.35">
      <c r="A248" s="13" t="s">
        <v>4</v>
      </c>
      <c r="B248" s="14">
        <v>7684666</v>
      </c>
      <c r="C248" s="14">
        <v>5053533</v>
      </c>
      <c r="D248" s="14">
        <v>2631133</v>
      </c>
      <c r="E248" s="15">
        <v>45792</v>
      </c>
    </row>
    <row r="249" spans="1:5" x14ac:dyDescent="0.35">
      <c r="A249" s="11" t="s">
        <v>6</v>
      </c>
      <c r="B249" s="12">
        <v>17772619</v>
      </c>
      <c r="C249" s="12">
        <v>3751148</v>
      </c>
      <c r="D249" s="12">
        <v>14021471</v>
      </c>
      <c r="E249" s="15">
        <v>45955</v>
      </c>
    </row>
    <row r="250" spans="1:5" x14ac:dyDescent="0.35">
      <c r="A250" s="13" t="s">
        <v>4</v>
      </c>
      <c r="B250" s="14">
        <v>9869633</v>
      </c>
      <c r="C250" s="14">
        <v>8708702</v>
      </c>
      <c r="D250" s="14">
        <v>1160931</v>
      </c>
      <c r="E250" s="15">
        <v>45699</v>
      </c>
    </row>
    <row r="251" spans="1:5" x14ac:dyDescent="0.35">
      <c r="A251" s="11" t="s">
        <v>4</v>
      </c>
      <c r="B251" s="12">
        <v>9814492</v>
      </c>
      <c r="C251" s="12">
        <v>5074629</v>
      </c>
      <c r="D251" s="12">
        <v>4739863</v>
      </c>
      <c r="E251" s="15">
        <v>46013</v>
      </c>
    </row>
  </sheetData>
  <pageMargins left="0.75" right="0.75" top="1" bottom="1" header="0.5" footer="0.5"/>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59"/>
  <sheetViews>
    <sheetView workbookViewId="0">
      <selection activeCell="G8" sqref="G8"/>
    </sheetView>
  </sheetViews>
  <sheetFormatPr defaultRowHeight="14.5" x14ac:dyDescent="0.35"/>
  <cols>
    <col min="1" max="1" width="11.08984375" bestFit="1" customWidth="1"/>
    <col min="2" max="2" width="12" bestFit="1" customWidth="1"/>
    <col min="3" max="3" width="12.54296875" bestFit="1" customWidth="1"/>
    <col min="4" max="4" width="13.08984375" bestFit="1" customWidth="1"/>
    <col min="5" max="5" width="12.26953125" bestFit="1" customWidth="1"/>
    <col min="6" max="6" width="17.90625" bestFit="1" customWidth="1"/>
    <col min="7" max="7" width="16.81640625" style="4" bestFit="1" customWidth="1"/>
  </cols>
  <sheetData>
    <row r="1" spans="1:9" x14ac:dyDescent="0.35">
      <c r="A1" s="1" t="s">
        <v>13</v>
      </c>
      <c r="B1" s="1" t="s">
        <v>8</v>
      </c>
      <c r="C1" s="1" t="s">
        <v>9</v>
      </c>
      <c r="D1" s="1" t="s">
        <v>10</v>
      </c>
      <c r="E1" s="1" t="s">
        <v>11</v>
      </c>
      <c r="F1" s="1" t="s">
        <v>12</v>
      </c>
      <c r="G1" s="3" t="s">
        <v>14</v>
      </c>
    </row>
    <row r="2" spans="1:9" x14ac:dyDescent="0.35">
      <c r="A2" t="s">
        <v>15</v>
      </c>
      <c r="B2" t="s">
        <v>4</v>
      </c>
      <c r="C2">
        <v>7409657</v>
      </c>
      <c r="D2">
        <v>6271336</v>
      </c>
      <c r="E2">
        <v>1138321</v>
      </c>
      <c r="F2" t="s">
        <v>16</v>
      </c>
      <c r="G2" s="4">
        <v>2024</v>
      </c>
      <c r="I2" s="1"/>
    </row>
    <row r="3" spans="1:9" x14ac:dyDescent="0.35">
      <c r="A3" t="s">
        <v>15</v>
      </c>
      <c r="B3" t="s">
        <v>4</v>
      </c>
      <c r="C3">
        <v>7409657</v>
      </c>
      <c r="D3">
        <v>6271336</v>
      </c>
      <c r="E3">
        <v>1138321</v>
      </c>
      <c r="F3" t="s">
        <v>17</v>
      </c>
      <c r="G3" s="4">
        <v>2024</v>
      </c>
    </row>
    <row r="4" spans="1:9" x14ac:dyDescent="0.35">
      <c r="A4" t="s">
        <v>15</v>
      </c>
      <c r="B4" t="s">
        <v>4</v>
      </c>
      <c r="C4">
        <v>7409657</v>
      </c>
      <c r="D4">
        <v>6271336</v>
      </c>
      <c r="E4">
        <v>1138321</v>
      </c>
      <c r="G4" s="4">
        <v>2024</v>
      </c>
    </row>
    <row r="5" spans="1:9" x14ac:dyDescent="0.35">
      <c r="A5" t="s">
        <v>15</v>
      </c>
      <c r="B5" t="s">
        <v>4</v>
      </c>
      <c r="C5">
        <v>7409657</v>
      </c>
      <c r="D5">
        <v>6271336</v>
      </c>
      <c r="E5">
        <v>1138321</v>
      </c>
      <c r="F5" t="s">
        <v>18</v>
      </c>
      <c r="G5" s="4">
        <v>2024</v>
      </c>
    </row>
    <row r="6" spans="1:9" x14ac:dyDescent="0.35">
      <c r="A6" t="s">
        <v>19</v>
      </c>
      <c r="B6" t="s">
        <v>4</v>
      </c>
      <c r="C6">
        <v>9814492</v>
      </c>
      <c r="D6">
        <v>5074629</v>
      </c>
      <c r="E6">
        <v>4739863</v>
      </c>
      <c r="F6" t="s">
        <v>20</v>
      </c>
      <c r="G6" s="4">
        <v>2025</v>
      </c>
    </row>
    <row r="7" spans="1:9" x14ac:dyDescent="0.35">
      <c r="A7" t="s">
        <v>19</v>
      </c>
      <c r="B7" t="s">
        <v>21</v>
      </c>
      <c r="C7">
        <v>13395142</v>
      </c>
      <c r="D7">
        <v>3866714</v>
      </c>
      <c r="E7">
        <v>9528428</v>
      </c>
      <c r="F7" t="s">
        <v>22</v>
      </c>
      <c r="G7" s="4">
        <v>2025</v>
      </c>
    </row>
    <row r="8" spans="1:9" x14ac:dyDescent="0.35">
      <c r="A8" t="s">
        <v>23</v>
      </c>
      <c r="B8" t="s">
        <v>21</v>
      </c>
      <c r="C8">
        <v>13395142</v>
      </c>
      <c r="D8">
        <v>3866714</v>
      </c>
      <c r="E8">
        <v>9528428</v>
      </c>
      <c r="F8" t="s">
        <v>24</v>
      </c>
      <c r="G8" s="4">
        <v>2025</v>
      </c>
    </row>
    <row r="9" spans="1:9" x14ac:dyDescent="0.35">
      <c r="A9" t="s">
        <v>19</v>
      </c>
      <c r="B9" t="s">
        <v>21</v>
      </c>
      <c r="C9">
        <v>13395142</v>
      </c>
      <c r="D9">
        <v>3866714</v>
      </c>
      <c r="E9">
        <v>9528428</v>
      </c>
      <c r="F9" t="s">
        <v>25</v>
      </c>
      <c r="G9" s="4">
        <v>2024</v>
      </c>
    </row>
    <row r="10" spans="1:9" x14ac:dyDescent="0.35">
      <c r="A10" t="s">
        <v>26</v>
      </c>
      <c r="B10" t="s">
        <v>4</v>
      </c>
      <c r="C10">
        <v>7684666</v>
      </c>
      <c r="D10">
        <v>5053533</v>
      </c>
      <c r="E10">
        <v>2631133</v>
      </c>
      <c r="F10" t="s">
        <v>27</v>
      </c>
      <c r="G10" s="4">
        <v>2024</v>
      </c>
    </row>
    <row r="11" spans="1:9" x14ac:dyDescent="0.35">
      <c r="A11" t="s">
        <v>26</v>
      </c>
      <c r="B11" t="s">
        <v>21</v>
      </c>
      <c r="C11">
        <v>13395811</v>
      </c>
      <c r="D11" t="s">
        <v>28</v>
      </c>
      <c r="E11">
        <v>5285894</v>
      </c>
      <c r="F11" t="s">
        <v>29</v>
      </c>
      <c r="G11" s="4">
        <v>2025</v>
      </c>
    </row>
    <row r="12" spans="1:9" x14ac:dyDescent="0.35">
      <c r="A12" t="s">
        <v>26</v>
      </c>
      <c r="B12" t="s">
        <v>21</v>
      </c>
      <c r="C12">
        <v>13395811</v>
      </c>
      <c r="D12">
        <v>8109917</v>
      </c>
      <c r="E12">
        <v>5285894</v>
      </c>
      <c r="F12" t="s">
        <v>30</v>
      </c>
      <c r="G12" s="4">
        <v>2025</v>
      </c>
    </row>
    <row r="13" spans="1:9" x14ac:dyDescent="0.35">
      <c r="A13" t="s">
        <v>26</v>
      </c>
      <c r="B13" t="s">
        <v>21</v>
      </c>
      <c r="C13">
        <v>13395811</v>
      </c>
      <c r="D13">
        <v>8109917</v>
      </c>
      <c r="E13">
        <v>5285894</v>
      </c>
      <c r="F13" t="s">
        <v>31</v>
      </c>
      <c r="G13" s="4">
        <v>2025</v>
      </c>
    </row>
    <row r="14" spans="1:9" x14ac:dyDescent="0.35">
      <c r="A14" t="s">
        <v>26</v>
      </c>
      <c r="B14" t="s">
        <v>21</v>
      </c>
      <c r="C14">
        <v>13395811</v>
      </c>
      <c r="D14">
        <v>8109917</v>
      </c>
      <c r="E14">
        <v>5285894</v>
      </c>
      <c r="F14" t="s">
        <v>30</v>
      </c>
      <c r="G14" s="4">
        <v>2025</v>
      </c>
    </row>
    <row r="15" spans="1:9" x14ac:dyDescent="0.35">
      <c r="A15" t="s">
        <v>26</v>
      </c>
      <c r="B15" t="s">
        <v>4</v>
      </c>
      <c r="C15">
        <v>7684666</v>
      </c>
      <c r="D15">
        <v>5053533</v>
      </c>
      <c r="E15" t="s">
        <v>32</v>
      </c>
      <c r="F15" t="s">
        <v>33</v>
      </c>
      <c r="G15" s="4">
        <v>2024</v>
      </c>
    </row>
    <row r="16" spans="1:9" x14ac:dyDescent="0.35">
      <c r="A16" t="s">
        <v>34</v>
      </c>
      <c r="B16" t="s">
        <v>4</v>
      </c>
      <c r="C16">
        <v>9869633</v>
      </c>
      <c r="D16">
        <v>8708702</v>
      </c>
      <c r="E16">
        <v>1160931</v>
      </c>
      <c r="F16" t="s">
        <v>35</v>
      </c>
      <c r="G16" s="4">
        <v>2024</v>
      </c>
    </row>
    <row r="17" spans="1:7" x14ac:dyDescent="0.35">
      <c r="A17" t="s">
        <v>34</v>
      </c>
      <c r="B17" t="s">
        <v>4</v>
      </c>
      <c r="C17">
        <v>9869633</v>
      </c>
      <c r="D17">
        <v>8708702</v>
      </c>
      <c r="E17">
        <v>1160931</v>
      </c>
      <c r="F17" t="s">
        <v>36</v>
      </c>
      <c r="G17" s="4">
        <v>2024</v>
      </c>
    </row>
    <row r="18" spans="1:7" x14ac:dyDescent="0.35">
      <c r="A18" t="s">
        <v>37</v>
      </c>
      <c r="B18" t="s">
        <v>4</v>
      </c>
      <c r="C18">
        <v>5297234</v>
      </c>
      <c r="D18">
        <v>3596622</v>
      </c>
      <c r="E18">
        <v>1700612</v>
      </c>
      <c r="F18" t="s">
        <v>38</v>
      </c>
      <c r="G18" s="4">
        <v>2025</v>
      </c>
    </row>
    <row r="19" spans="1:7" x14ac:dyDescent="0.35">
      <c r="A19" t="s">
        <v>37</v>
      </c>
      <c r="B19" t="s">
        <v>39</v>
      </c>
      <c r="C19">
        <v>9406634</v>
      </c>
      <c r="D19">
        <v>1310092</v>
      </c>
      <c r="E19">
        <v>8096542</v>
      </c>
      <c r="F19" t="s">
        <v>40</v>
      </c>
      <c r="G19" s="4">
        <v>2024</v>
      </c>
    </row>
    <row r="20" spans="1:7" x14ac:dyDescent="0.35">
      <c r="A20" t="s">
        <v>37</v>
      </c>
      <c r="B20" t="s">
        <v>4</v>
      </c>
      <c r="C20">
        <v>5297234</v>
      </c>
      <c r="D20">
        <v>3596622</v>
      </c>
      <c r="E20">
        <v>1700612</v>
      </c>
      <c r="F20" t="s">
        <v>41</v>
      </c>
      <c r="G20" s="4">
        <v>2025</v>
      </c>
    </row>
    <row r="21" spans="1:7" x14ac:dyDescent="0.35">
      <c r="A21" t="s">
        <v>37</v>
      </c>
      <c r="B21" t="s">
        <v>42</v>
      </c>
      <c r="C21">
        <v>9406634</v>
      </c>
      <c r="D21">
        <v>1310092</v>
      </c>
      <c r="E21">
        <v>8096542</v>
      </c>
      <c r="F21" t="s">
        <v>43</v>
      </c>
      <c r="G21" s="4">
        <v>2025</v>
      </c>
    </row>
    <row r="22" spans="1:7" x14ac:dyDescent="0.35">
      <c r="A22" t="s">
        <v>37</v>
      </c>
      <c r="B22" t="s">
        <v>21</v>
      </c>
      <c r="C22">
        <v>9406634</v>
      </c>
      <c r="D22">
        <v>1310092</v>
      </c>
      <c r="E22">
        <v>8096542</v>
      </c>
      <c r="F22" t="s">
        <v>44</v>
      </c>
      <c r="G22" s="4">
        <v>2024</v>
      </c>
    </row>
    <row r="23" spans="1:7" x14ac:dyDescent="0.35">
      <c r="A23" t="s">
        <v>45</v>
      </c>
      <c r="B23" t="s">
        <v>39</v>
      </c>
      <c r="C23" t="s">
        <v>46</v>
      </c>
      <c r="D23">
        <v>7049977</v>
      </c>
      <c r="E23">
        <v>2116792</v>
      </c>
      <c r="F23" t="s">
        <v>47</v>
      </c>
      <c r="G23" s="4">
        <v>2024</v>
      </c>
    </row>
    <row r="24" spans="1:7" x14ac:dyDescent="0.35">
      <c r="A24" t="s">
        <v>48</v>
      </c>
      <c r="B24" t="s">
        <v>4</v>
      </c>
      <c r="C24">
        <v>10887632</v>
      </c>
      <c r="D24">
        <v>3314932</v>
      </c>
      <c r="E24">
        <v>7572700</v>
      </c>
      <c r="F24" t="s">
        <v>49</v>
      </c>
      <c r="G24" s="4">
        <v>2025</v>
      </c>
    </row>
    <row r="25" spans="1:7" x14ac:dyDescent="0.35">
      <c r="A25" t="s">
        <v>48</v>
      </c>
      <c r="B25" t="s">
        <v>21</v>
      </c>
      <c r="C25">
        <v>9166769</v>
      </c>
      <c r="D25">
        <v>7049977</v>
      </c>
      <c r="E25">
        <v>2116792</v>
      </c>
      <c r="F25" t="s">
        <v>50</v>
      </c>
      <c r="G25" s="4">
        <v>2024</v>
      </c>
    </row>
    <row r="26" spans="1:7" x14ac:dyDescent="0.35">
      <c r="A26" t="s">
        <v>45</v>
      </c>
      <c r="B26" t="s">
        <v>4</v>
      </c>
      <c r="C26">
        <v>10887632</v>
      </c>
      <c r="D26">
        <v>3314932</v>
      </c>
      <c r="E26">
        <v>7572700</v>
      </c>
      <c r="F26" t="s">
        <v>51</v>
      </c>
      <c r="G26" s="4">
        <v>2025</v>
      </c>
    </row>
    <row r="27" spans="1:7" x14ac:dyDescent="0.35">
      <c r="A27" t="s">
        <v>48</v>
      </c>
      <c r="B27" t="s">
        <v>21</v>
      </c>
      <c r="C27">
        <v>9166769</v>
      </c>
      <c r="D27">
        <v>7049977</v>
      </c>
      <c r="E27">
        <v>2116792</v>
      </c>
      <c r="F27" t="s">
        <v>52</v>
      </c>
      <c r="G27" s="4">
        <v>2024</v>
      </c>
    </row>
    <row r="28" spans="1:7" x14ac:dyDescent="0.35">
      <c r="A28" t="s">
        <v>48</v>
      </c>
      <c r="B28" t="s">
        <v>21</v>
      </c>
      <c r="C28">
        <v>9166769</v>
      </c>
      <c r="D28">
        <v>7049977</v>
      </c>
      <c r="E28" t="s">
        <v>53</v>
      </c>
      <c r="F28" t="s">
        <v>54</v>
      </c>
      <c r="G28" s="4">
        <v>2025</v>
      </c>
    </row>
    <row r="29" spans="1:7" x14ac:dyDescent="0.35">
      <c r="A29" t="s">
        <v>55</v>
      </c>
      <c r="B29" t="s">
        <v>21</v>
      </c>
      <c r="C29" t="s">
        <v>56</v>
      </c>
      <c r="D29" t="s">
        <v>57</v>
      </c>
      <c r="E29" t="s">
        <v>58</v>
      </c>
      <c r="F29" t="s">
        <v>59</v>
      </c>
      <c r="G29" s="4">
        <v>2025</v>
      </c>
    </row>
    <row r="30" spans="1:7" x14ac:dyDescent="0.35">
      <c r="A30" t="s">
        <v>55</v>
      </c>
      <c r="B30" t="s">
        <v>4</v>
      </c>
      <c r="C30">
        <v>7713630</v>
      </c>
      <c r="D30">
        <v>1832250</v>
      </c>
      <c r="E30">
        <v>5881380</v>
      </c>
      <c r="F30" t="s">
        <v>60</v>
      </c>
      <c r="G30" s="4">
        <v>2025</v>
      </c>
    </row>
    <row r="31" spans="1:7" x14ac:dyDescent="0.35">
      <c r="A31" t="s">
        <v>55</v>
      </c>
      <c r="B31" t="s">
        <v>4</v>
      </c>
      <c r="C31">
        <v>7713630</v>
      </c>
      <c r="D31">
        <v>1832250</v>
      </c>
      <c r="E31">
        <v>5881380</v>
      </c>
      <c r="F31" t="s">
        <v>61</v>
      </c>
      <c r="G31" s="4">
        <v>2024</v>
      </c>
    </row>
    <row r="32" spans="1:7" x14ac:dyDescent="0.35">
      <c r="A32" t="s">
        <v>55</v>
      </c>
      <c r="B32" t="s">
        <v>4</v>
      </c>
      <c r="C32">
        <v>7713630</v>
      </c>
      <c r="D32">
        <v>1832250</v>
      </c>
      <c r="E32">
        <v>5881380</v>
      </c>
      <c r="F32" t="s">
        <v>62</v>
      </c>
      <c r="G32" s="4">
        <v>2025</v>
      </c>
    </row>
    <row r="33" spans="1:7" x14ac:dyDescent="0.35">
      <c r="A33" t="s">
        <v>55</v>
      </c>
      <c r="B33" t="s">
        <v>21</v>
      </c>
      <c r="C33">
        <v>6659621</v>
      </c>
      <c r="D33">
        <v>5718412</v>
      </c>
      <c r="E33">
        <v>941209</v>
      </c>
      <c r="F33" t="s">
        <v>63</v>
      </c>
      <c r="G33" s="4">
        <v>2024</v>
      </c>
    </row>
    <row r="34" spans="1:7" x14ac:dyDescent="0.35">
      <c r="A34" t="s">
        <v>64</v>
      </c>
      <c r="B34" t="s">
        <v>39</v>
      </c>
      <c r="C34">
        <v>10655734</v>
      </c>
      <c r="D34">
        <v>2408508</v>
      </c>
      <c r="E34">
        <v>8247226</v>
      </c>
      <c r="F34" t="s">
        <v>65</v>
      </c>
      <c r="G34" s="4">
        <v>2024</v>
      </c>
    </row>
    <row r="35" spans="1:7" x14ac:dyDescent="0.35">
      <c r="A35" t="s">
        <v>64</v>
      </c>
      <c r="B35" t="s">
        <v>4</v>
      </c>
      <c r="C35">
        <v>6629660</v>
      </c>
      <c r="D35">
        <v>3523400</v>
      </c>
      <c r="E35">
        <v>3106260</v>
      </c>
      <c r="F35" t="s">
        <v>66</v>
      </c>
      <c r="G35" s="4">
        <v>2024</v>
      </c>
    </row>
    <row r="36" spans="1:7" x14ac:dyDescent="0.35">
      <c r="A36" t="s">
        <v>64</v>
      </c>
      <c r="B36" t="s">
        <v>39</v>
      </c>
      <c r="C36">
        <v>10655734</v>
      </c>
      <c r="D36">
        <v>2408508</v>
      </c>
      <c r="E36">
        <v>8247226</v>
      </c>
      <c r="F36" t="s">
        <v>67</v>
      </c>
      <c r="G36" s="4">
        <v>2024</v>
      </c>
    </row>
    <row r="37" spans="1:7" x14ac:dyDescent="0.35">
      <c r="A37" t="s">
        <v>68</v>
      </c>
      <c r="C37" t="s">
        <v>69</v>
      </c>
      <c r="D37">
        <v>3398230</v>
      </c>
      <c r="E37">
        <v>9035148</v>
      </c>
      <c r="F37" t="s">
        <v>70</v>
      </c>
      <c r="G37" s="4">
        <v>2025</v>
      </c>
    </row>
    <row r="38" spans="1:7" x14ac:dyDescent="0.35">
      <c r="A38" t="s">
        <v>68</v>
      </c>
      <c r="B38" t="s">
        <v>21</v>
      </c>
      <c r="C38">
        <v>12433378</v>
      </c>
      <c r="D38">
        <v>3398230</v>
      </c>
      <c r="E38">
        <v>9035148</v>
      </c>
      <c r="F38" t="s">
        <v>71</v>
      </c>
      <c r="G38" s="4">
        <v>2025</v>
      </c>
    </row>
    <row r="39" spans="1:7" x14ac:dyDescent="0.35">
      <c r="A39" t="s">
        <v>68</v>
      </c>
      <c r="B39" t="s">
        <v>21</v>
      </c>
      <c r="C39">
        <v>12433378</v>
      </c>
      <c r="D39">
        <v>3398230</v>
      </c>
      <c r="E39">
        <v>9035148</v>
      </c>
      <c r="F39" t="s">
        <v>72</v>
      </c>
      <c r="G39" s="4">
        <v>2024</v>
      </c>
    </row>
    <row r="40" spans="1:7" x14ac:dyDescent="0.35">
      <c r="A40" t="s">
        <v>73</v>
      </c>
      <c r="B40" t="s">
        <v>21</v>
      </c>
      <c r="C40">
        <v>12433378</v>
      </c>
      <c r="D40" t="s">
        <v>74</v>
      </c>
      <c r="E40">
        <v>9035148</v>
      </c>
      <c r="F40" t="s">
        <v>25</v>
      </c>
      <c r="G40" s="4">
        <v>2024</v>
      </c>
    </row>
    <row r="41" spans="1:7" x14ac:dyDescent="0.35">
      <c r="A41" t="s">
        <v>75</v>
      </c>
      <c r="B41" t="s">
        <v>76</v>
      </c>
      <c r="C41">
        <v>8925622</v>
      </c>
      <c r="D41">
        <v>7859625</v>
      </c>
      <c r="E41">
        <v>1065997</v>
      </c>
      <c r="F41" t="s">
        <v>77</v>
      </c>
      <c r="G41" s="4">
        <v>2025</v>
      </c>
    </row>
    <row r="42" spans="1:7" x14ac:dyDescent="0.35">
      <c r="A42" t="s">
        <v>75</v>
      </c>
      <c r="B42" t="s">
        <v>4</v>
      </c>
      <c r="C42">
        <v>3115955</v>
      </c>
      <c r="D42">
        <v>2888010</v>
      </c>
      <c r="E42">
        <v>227945</v>
      </c>
      <c r="F42" t="s">
        <v>78</v>
      </c>
      <c r="G42" s="4">
        <v>2024</v>
      </c>
    </row>
    <row r="43" spans="1:7" x14ac:dyDescent="0.35">
      <c r="A43" t="s">
        <v>75</v>
      </c>
      <c r="B43" t="s">
        <v>4</v>
      </c>
      <c r="C43" t="s">
        <v>79</v>
      </c>
      <c r="D43">
        <v>2888010</v>
      </c>
      <c r="E43">
        <v>227945</v>
      </c>
      <c r="F43" t="s">
        <v>80</v>
      </c>
      <c r="G43" s="4">
        <v>2025</v>
      </c>
    </row>
    <row r="44" spans="1:7" x14ac:dyDescent="0.35">
      <c r="A44" t="s">
        <v>75</v>
      </c>
      <c r="B44" t="s">
        <v>81</v>
      </c>
      <c r="C44">
        <v>3115955</v>
      </c>
      <c r="D44">
        <v>2888010</v>
      </c>
      <c r="E44">
        <v>227945</v>
      </c>
      <c r="F44" t="s">
        <v>82</v>
      </c>
      <c r="G44" s="4">
        <v>2024</v>
      </c>
    </row>
    <row r="45" spans="1:7" x14ac:dyDescent="0.35">
      <c r="A45" t="s">
        <v>75</v>
      </c>
      <c r="B45" t="s">
        <v>21</v>
      </c>
      <c r="C45">
        <v>8925622</v>
      </c>
      <c r="D45">
        <v>7859625</v>
      </c>
      <c r="E45">
        <v>1065997</v>
      </c>
      <c r="F45" t="s">
        <v>83</v>
      </c>
      <c r="G45" s="4">
        <v>2025</v>
      </c>
    </row>
    <row r="46" spans="1:7" x14ac:dyDescent="0.35">
      <c r="A46" t="s">
        <v>84</v>
      </c>
      <c r="B46" t="s">
        <v>4</v>
      </c>
      <c r="C46">
        <v>2093322</v>
      </c>
      <c r="D46">
        <v>846252</v>
      </c>
      <c r="E46">
        <v>1247070</v>
      </c>
      <c r="F46" t="s">
        <v>85</v>
      </c>
      <c r="G46" s="4">
        <v>2025</v>
      </c>
    </row>
    <row r="47" spans="1:7" x14ac:dyDescent="0.35">
      <c r="A47" t="s">
        <v>84</v>
      </c>
      <c r="B47" t="s">
        <v>4</v>
      </c>
      <c r="C47">
        <v>2093322</v>
      </c>
      <c r="D47">
        <v>846252</v>
      </c>
      <c r="E47">
        <v>1247070</v>
      </c>
      <c r="F47" t="s">
        <v>86</v>
      </c>
      <c r="G47" s="4">
        <v>2025</v>
      </c>
    </row>
    <row r="48" spans="1:7" x14ac:dyDescent="0.35">
      <c r="A48" t="s">
        <v>84</v>
      </c>
      <c r="B48" t="s">
        <v>4</v>
      </c>
      <c r="C48" t="s">
        <v>87</v>
      </c>
      <c r="D48" t="s">
        <v>88</v>
      </c>
      <c r="E48">
        <v>1247070</v>
      </c>
      <c r="F48" t="s">
        <v>89</v>
      </c>
      <c r="G48" s="4">
        <v>2024</v>
      </c>
    </row>
    <row r="49" spans="1:7" x14ac:dyDescent="0.35">
      <c r="A49" t="s">
        <v>90</v>
      </c>
      <c r="B49" t="s">
        <v>21</v>
      </c>
      <c r="C49">
        <v>13243123</v>
      </c>
      <c r="D49" t="s">
        <v>91</v>
      </c>
      <c r="E49">
        <v>7774695</v>
      </c>
      <c r="F49" t="s">
        <v>92</v>
      </c>
      <c r="G49" s="4">
        <v>2025</v>
      </c>
    </row>
    <row r="50" spans="1:7" x14ac:dyDescent="0.35">
      <c r="A50" t="s">
        <v>84</v>
      </c>
      <c r="B50" t="s">
        <v>21</v>
      </c>
      <c r="C50">
        <v>13243123</v>
      </c>
      <c r="D50">
        <v>5468428</v>
      </c>
      <c r="E50">
        <v>7774695</v>
      </c>
      <c r="F50" t="s">
        <v>93</v>
      </c>
      <c r="G50" s="4">
        <v>2025</v>
      </c>
    </row>
    <row r="51" spans="1:7" x14ac:dyDescent="0.35">
      <c r="A51" t="s">
        <v>84</v>
      </c>
      <c r="B51" t="s">
        <v>21</v>
      </c>
      <c r="C51">
        <v>13243123</v>
      </c>
      <c r="D51">
        <v>5468428</v>
      </c>
      <c r="E51">
        <v>7774695</v>
      </c>
      <c r="F51" t="s">
        <v>94</v>
      </c>
      <c r="G51" s="4">
        <v>2024</v>
      </c>
    </row>
    <row r="52" spans="1:7" x14ac:dyDescent="0.35">
      <c r="A52" t="s">
        <v>95</v>
      </c>
      <c r="B52" t="s">
        <v>4</v>
      </c>
      <c r="C52">
        <v>10932582</v>
      </c>
      <c r="D52" t="s">
        <v>96</v>
      </c>
      <c r="E52" t="s">
        <v>97</v>
      </c>
      <c r="F52" t="s">
        <v>98</v>
      </c>
      <c r="G52" s="4">
        <v>2024</v>
      </c>
    </row>
    <row r="53" spans="1:7" x14ac:dyDescent="0.35">
      <c r="A53" t="s">
        <v>95</v>
      </c>
      <c r="B53" t="s">
        <v>4</v>
      </c>
      <c r="C53">
        <v>10932582</v>
      </c>
      <c r="D53">
        <v>9516586</v>
      </c>
      <c r="E53">
        <v>1415996</v>
      </c>
      <c r="F53" t="s">
        <v>99</v>
      </c>
      <c r="G53" s="4">
        <v>2024</v>
      </c>
    </row>
    <row r="54" spans="1:7" x14ac:dyDescent="0.35">
      <c r="A54" t="s">
        <v>95</v>
      </c>
      <c r="B54" t="s">
        <v>21</v>
      </c>
      <c r="C54">
        <v>17772619</v>
      </c>
      <c r="D54">
        <v>3751148</v>
      </c>
      <c r="E54">
        <v>14021471</v>
      </c>
      <c r="F54" t="s">
        <v>100</v>
      </c>
      <c r="G54" s="4">
        <v>2025</v>
      </c>
    </row>
    <row r="55" spans="1:7" x14ac:dyDescent="0.35">
      <c r="A55" t="s">
        <v>95</v>
      </c>
      <c r="B55" t="s">
        <v>21</v>
      </c>
      <c r="C55" t="s">
        <v>101</v>
      </c>
      <c r="D55">
        <v>3751148</v>
      </c>
      <c r="E55">
        <v>14021471</v>
      </c>
      <c r="F55" t="s">
        <v>102</v>
      </c>
      <c r="G55" s="4">
        <v>2025</v>
      </c>
    </row>
    <row r="56" spans="1:7" x14ac:dyDescent="0.35">
      <c r="A56" t="s">
        <v>95</v>
      </c>
      <c r="B56" t="s">
        <v>81</v>
      </c>
      <c r="C56">
        <v>10932582</v>
      </c>
      <c r="D56" t="s">
        <v>96</v>
      </c>
      <c r="E56">
        <v>1415996</v>
      </c>
      <c r="F56" t="s">
        <v>103</v>
      </c>
      <c r="G56" s="4">
        <v>2025</v>
      </c>
    </row>
    <row r="57" spans="1:7" x14ac:dyDescent="0.35">
      <c r="A57" t="s">
        <v>104</v>
      </c>
      <c r="B57" t="s">
        <v>4</v>
      </c>
      <c r="C57">
        <v>6629660</v>
      </c>
      <c r="D57">
        <v>3523400</v>
      </c>
      <c r="E57">
        <v>3106260</v>
      </c>
      <c r="F57" t="s">
        <v>105</v>
      </c>
      <c r="G57" s="4">
        <v>2025</v>
      </c>
    </row>
    <row r="58" spans="1:7" x14ac:dyDescent="0.35">
      <c r="A58" t="s">
        <v>106</v>
      </c>
      <c r="B58" t="s">
        <v>4</v>
      </c>
      <c r="C58">
        <v>9814492</v>
      </c>
      <c r="D58">
        <v>5074629</v>
      </c>
      <c r="E58">
        <v>4739863</v>
      </c>
      <c r="F58" t="s">
        <v>107</v>
      </c>
      <c r="G58" s="4">
        <v>2025</v>
      </c>
    </row>
    <row r="59" spans="1:7" x14ac:dyDescent="0.35">
      <c r="A59" t="s">
        <v>108</v>
      </c>
      <c r="B59" t="s">
        <v>21</v>
      </c>
      <c r="C59">
        <v>6659621</v>
      </c>
      <c r="D59">
        <v>5718412</v>
      </c>
      <c r="E59">
        <v>941209</v>
      </c>
      <c r="F59" t="s">
        <v>78</v>
      </c>
      <c r="G59" s="4">
        <v>2024</v>
      </c>
    </row>
    <row r="60" spans="1:7" x14ac:dyDescent="0.35">
      <c r="B60" t="s">
        <v>109</v>
      </c>
      <c r="C60">
        <v>6641746</v>
      </c>
      <c r="D60">
        <v>2466037</v>
      </c>
      <c r="E60">
        <v>4175709</v>
      </c>
      <c r="F60" t="s">
        <v>110</v>
      </c>
      <c r="G60" s="4">
        <v>2025</v>
      </c>
    </row>
    <row r="61" spans="1:7" x14ac:dyDescent="0.35">
      <c r="A61" t="s">
        <v>26</v>
      </c>
      <c r="B61" t="s">
        <v>21</v>
      </c>
      <c r="C61">
        <v>13395811</v>
      </c>
      <c r="D61">
        <v>8109917</v>
      </c>
      <c r="E61">
        <v>5285894</v>
      </c>
      <c r="F61" t="s">
        <v>111</v>
      </c>
      <c r="G61" s="4">
        <v>2025</v>
      </c>
    </row>
    <row r="62" spans="1:7" x14ac:dyDescent="0.35">
      <c r="A62" t="s">
        <v>68</v>
      </c>
      <c r="B62" t="s">
        <v>21</v>
      </c>
      <c r="C62">
        <v>12433378</v>
      </c>
      <c r="D62" t="s">
        <v>74</v>
      </c>
      <c r="E62">
        <v>9035148</v>
      </c>
      <c r="F62" t="s">
        <v>112</v>
      </c>
      <c r="G62" s="4">
        <v>2025</v>
      </c>
    </row>
    <row r="63" spans="1:7" x14ac:dyDescent="0.35">
      <c r="A63" t="s">
        <v>26</v>
      </c>
      <c r="B63" t="s">
        <v>4</v>
      </c>
      <c r="C63">
        <v>7684666</v>
      </c>
      <c r="D63">
        <v>5053533</v>
      </c>
      <c r="E63">
        <v>2631133</v>
      </c>
      <c r="F63" t="s">
        <v>113</v>
      </c>
      <c r="G63" s="4">
        <v>2024</v>
      </c>
    </row>
    <row r="64" spans="1:7" x14ac:dyDescent="0.35">
      <c r="A64" t="s">
        <v>15</v>
      </c>
      <c r="B64" t="s">
        <v>21</v>
      </c>
      <c r="C64">
        <v>17872796</v>
      </c>
      <c r="D64">
        <v>4065021</v>
      </c>
      <c r="E64">
        <v>13807775</v>
      </c>
      <c r="F64" t="s">
        <v>114</v>
      </c>
      <c r="G64" s="4">
        <v>2024</v>
      </c>
    </row>
    <row r="65" spans="1:7" x14ac:dyDescent="0.35">
      <c r="A65" t="s">
        <v>95</v>
      </c>
      <c r="B65" t="s">
        <v>76</v>
      </c>
      <c r="C65">
        <v>17772619</v>
      </c>
      <c r="D65">
        <v>3751148</v>
      </c>
      <c r="E65" t="s">
        <v>115</v>
      </c>
      <c r="F65" t="s">
        <v>116</v>
      </c>
      <c r="G65" s="4">
        <v>2024</v>
      </c>
    </row>
    <row r="66" spans="1:7" x14ac:dyDescent="0.35">
      <c r="A66" t="s">
        <v>68</v>
      </c>
      <c r="B66" t="s">
        <v>21</v>
      </c>
      <c r="C66">
        <v>12433378</v>
      </c>
      <c r="D66">
        <v>3398230</v>
      </c>
      <c r="E66">
        <v>9035148</v>
      </c>
      <c r="F66" t="s">
        <v>117</v>
      </c>
      <c r="G66" s="4">
        <v>2024</v>
      </c>
    </row>
    <row r="67" spans="1:7" x14ac:dyDescent="0.35">
      <c r="A67" t="s">
        <v>37</v>
      </c>
      <c r="B67" t="s">
        <v>4</v>
      </c>
      <c r="C67">
        <v>5297234</v>
      </c>
      <c r="D67" t="s">
        <v>118</v>
      </c>
      <c r="E67">
        <v>1700612</v>
      </c>
      <c r="F67" t="s">
        <v>119</v>
      </c>
      <c r="G67" s="4">
        <v>2024</v>
      </c>
    </row>
    <row r="68" spans="1:7" x14ac:dyDescent="0.35">
      <c r="A68" t="s">
        <v>104</v>
      </c>
      <c r="B68" t="s">
        <v>4</v>
      </c>
      <c r="C68">
        <v>6629660</v>
      </c>
      <c r="D68">
        <v>3523400</v>
      </c>
      <c r="E68">
        <v>3106260</v>
      </c>
      <c r="F68" t="s">
        <v>120</v>
      </c>
      <c r="G68" s="4">
        <v>2025</v>
      </c>
    </row>
    <row r="69" spans="1:7" x14ac:dyDescent="0.35">
      <c r="A69" t="s">
        <v>64</v>
      </c>
      <c r="B69" t="s">
        <v>4</v>
      </c>
      <c r="C69">
        <v>6629660</v>
      </c>
      <c r="D69">
        <v>3523400</v>
      </c>
      <c r="E69">
        <v>3106260</v>
      </c>
      <c r="F69" t="s">
        <v>121</v>
      </c>
      <c r="G69" s="4">
        <v>2024</v>
      </c>
    </row>
    <row r="70" spans="1:7" x14ac:dyDescent="0.35">
      <c r="A70" t="s">
        <v>19</v>
      </c>
      <c r="B70" t="s">
        <v>21</v>
      </c>
      <c r="C70">
        <v>13395142</v>
      </c>
      <c r="D70">
        <v>3866714</v>
      </c>
      <c r="E70">
        <v>9528428</v>
      </c>
      <c r="F70" t="s">
        <v>122</v>
      </c>
      <c r="G70" s="4">
        <v>2024</v>
      </c>
    </row>
    <row r="71" spans="1:7" x14ac:dyDescent="0.35">
      <c r="A71" t="s">
        <v>55</v>
      </c>
      <c r="B71" t="s">
        <v>39</v>
      </c>
      <c r="C71">
        <v>6659621</v>
      </c>
      <c r="D71">
        <v>5718412</v>
      </c>
      <c r="E71">
        <v>941209</v>
      </c>
      <c r="F71" t="s">
        <v>123</v>
      </c>
      <c r="G71" s="4">
        <v>2025</v>
      </c>
    </row>
    <row r="72" spans="1:7" x14ac:dyDescent="0.35">
      <c r="A72" t="s">
        <v>37</v>
      </c>
      <c r="B72" t="s">
        <v>4</v>
      </c>
      <c r="C72" t="s">
        <v>124</v>
      </c>
      <c r="D72">
        <v>3596622</v>
      </c>
      <c r="E72">
        <v>1700612</v>
      </c>
      <c r="F72" t="s">
        <v>125</v>
      </c>
      <c r="G72" s="4">
        <v>2024</v>
      </c>
    </row>
    <row r="73" spans="1:7" x14ac:dyDescent="0.35">
      <c r="A73" t="s">
        <v>48</v>
      </c>
      <c r="B73" t="s">
        <v>4</v>
      </c>
      <c r="C73" t="s">
        <v>126</v>
      </c>
      <c r="D73">
        <v>3314932</v>
      </c>
      <c r="E73">
        <v>7572700</v>
      </c>
      <c r="F73" t="s">
        <v>127</v>
      </c>
      <c r="G73" s="4">
        <v>2024</v>
      </c>
    </row>
    <row r="74" spans="1:7" x14ac:dyDescent="0.35">
      <c r="A74" t="s">
        <v>48</v>
      </c>
      <c r="B74" t="s">
        <v>21</v>
      </c>
      <c r="C74">
        <v>9166769</v>
      </c>
      <c r="D74">
        <v>7049977</v>
      </c>
      <c r="E74">
        <v>2116792</v>
      </c>
      <c r="F74" t="s">
        <v>128</v>
      </c>
      <c r="G74" s="4">
        <v>2024</v>
      </c>
    </row>
    <row r="75" spans="1:7" x14ac:dyDescent="0.35">
      <c r="A75" t="s">
        <v>26</v>
      </c>
      <c r="B75" t="s">
        <v>21</v>
      </c>
      <c r="C75" t="s">
        <v>129</v>
      </c>
      <c r="D75">
        <v>8109917</v>
      </c>
      <c r="E75">
        <v>5285894</v>
      </c>
      <c r="F75" t="s">
        <v>130</v>
      </c>
      <c r="G75" s="4">
        <v>2024</v>
      </c>
    </row>
    <row r="76" spans="1:7" x14ac:dyDescent="0.35">
      <c r="A76" t="s">
        <v>26</v>
      </c>
      <c r="B76" t="s">
        <v>21</v>
      </c>
      <c r="C76">
        <v>13395811</v>
      </c>
      <c r="D76">
        <v>8109917</v>
      </c>
      <c r="E76">
        <v>5285894</v>
      </c>
      <c r="F76" t="s">
        <v>131</v>
      </c>
      <c r="G76" s="4">
        <v>2025</v>
      </c>
    </row>
    <row r="77" spans="1:7" x14ac:dyDescent="0.35">
      <c r="A77" t="s">
        <v>95</v>
      </c>
      <c r="B77" t="s">
        <v>4</v>
      </c>
      <c r="C77">
        <v>10932582</v>
      </c>
      <c r="D77">
        <v>9516586</v>
      </c>
      <c r="E77">
        <v>1415996</v>
      </c>
      <c r="F77" t="s">
        <v>132</v>
      </c>
      <c r="G77" s="4">
        <v>2025</v>
      </c>
    </row>
    <row r="78" spans="1:7" x14ac:dyDescent="0.35">
      <c r="A78" t="s">
        <v>95</v>
      </c>
      <c r="B78" t="s">
        <v>21</v>
      </c>
      <c r="C78">
        <v>17772619</v>
      </c>
      <c r="D78">
        <v>3751148</v>
      </c>
      <c r="E78">
        <v>14021471</v>
      </c>
      <c r="F78" t="s">
        <v>133</v>
      </c>
      <c r="G78" s="4">
        <v>2025</v>
      </c>
    </row>
    <row r="79" spans="1:7" x14ac:dyDescent="0.35">
      <c r="A79" t="s">
        <v>64</v>
      </c>
      <c r="B79" t="s">
        <v>4</v>
      </c>
      <c r="C79">
        <v>6629660</v>
      </c>
      <c r="D79">
        <v>3523400</v>
      </c>
      <c r="E79" t="s">
        <v>134</v>
      </c>
      <c r="F79" t="s">
        <v>135</v>
      </c>
      <c r="G79" s="4">
        <v>2024</v>
      </c>
    </row>
    <row r="80" spans="1:7" x14ac:dyDescent="0.35">
      <c r="A80" t="s">
        <v>34</v>
      </c>
      <c r="B80" t="s">
        <v>21</v>
      </c>
      <c r="C80">
        <v>10422659</v>
      </c>
      <c r="D80">
        <v>8777125</v>
      </c>
      <c r="E80">
        <v>1645534</v>
      </c>
      <c r="F80" t="s">
        <v>136</v>
      </c>
      <c r="G80" s="4">
        <v>2025</v>
      </c>
    </row>
    <row r="81" spans="1:7" x14ac:dyDescent="0.35">
      <c r="A81" t="s">
        <v>84</v>
      </c>
      <c r="B81" t="s">
        <v>21</v>
      </c>
      <c r="C81">
        <v>13243123</v>
      </c>
      <c r="D81">
        <v>5468428</v>
      </c>
      <c r="E81">
        <v>7774695</v>
      </c>
      <c r="F81" t="s">
        <v>137</v>
      </c>
      <c r="G81" s="4">
        <v>2025</v>
      </c>
    </row>
    <row r="82" spans="1:7" x14ac:dyDescent="0.35">
      <c r="A82" t="s">
        <v>95</v>
      </c>
      <c r="B82" t="s">
        <v>4</v>
      </c>
      <c r="C82">
        <v>10932582</v>
      </c>
      <c r="D82">
        <v>9516586</v>
      </c>
      <c r="E82">
        <v>1415996</v>
      </c>
      <c r="F82" t="s">
        <v>138</v>
      </c>
      <c r="G82" s="4">
        <v>2025</v>
      </c>
    </row>
    <row r="83" spans="1:7" x14ac:dyDescent="0.35">
      <c r="A83" t="s">
        <v>139</v>
      </c>
      <c r="B83" t="s">
        <v>4</v>
      </c>
      <c r="C83">
        <v>10932582</v>
      </c>
      <c r="D83">
        <v>9516586</v>
      </c>
      <c r="E83" t="s">
        <v>97</v>
      </c>
      <c r="F83" t="s">
        <v>140</v>
      </c>
      <c r="G83" s="4">
        <v>2024</v>
      </c>
    </row>
    <row r="84" spans="1:7" x14ac:dyDescent="0.35">
      <c r="A84" t="s">
        <v>15</v>
      </c>
      <c r="B84" t="s">
        <v>21</v>
      </c>
      <c r="C84">
        <v>17872796</v>
      </c>
      <c r="D84">
        <v>4065021</v>
      </c>
      <c r="E84">
        <v>13807775</v>
      </c>
      <c r="F84" t="s">
        <v>30</v>
      </c>
      <c r="G84" s="4">
        <v>2025</v>
      </c>
    </row>
    <row r="85" spans="1:7" x14ac:dyDescent="0.35">
      <c r="A85" t="s">
        <v>108</v>
      </c>
      <c r="B85" t="s">
        <v>21</v>
      </c>
      <c r="C85">
        <v>6659621</v>
      </c>
      <c r="D85">
        <v>5718412</v>
      </c>
      <c r="E85">
        <v>941209</v>
      </c>
      <c r="F85" t="s">
        <v>141</v>
      </c>
      <c r="G85" s="4">
        <v>2025</v>
      </c>
    </row>
    <row r="86" spans="1:7" x14ac:dyDescent="0.35">
      <c r="A86" t="s">
        <v>48</v>
      </c>
      <c r="B86" t="s">
        <v>76</v>
      </c>
      <c r="C86" t="s">
        <v>46</v>
      </c>
      <c r="D86">
        <v>7049977</v>
      </c>
      <c r="E86">
        <v>2116792</v>
      </c>
      <c r="F86" t="s">
        <v>142</v>
      </c>
      <c r="G86" s="4">
        <v>2024</v>
      </c>
    </row>
    <row r="87" spans="1:7" x14ac:dyDescent="0.35">
      <c r="A87" t="s">
        <v>75</v>
      </c>
      <c r="B87" t="s">
        <v>21</v>
      </c>
      <c r="C87">
        <v>8925622</v>
      </c>
      <c r="D87">
        <v>7859625</v>
      </c>
      <c r="E87">
        <v>1065997</v>
      </c>
      <c r="F87" t="s">
        <v>143</v>
      </c>
      <c r="G87" s="4">
        <v>2024</v>
      </c>
    </row>
    <row r="88" spans="1:7" x14ac:dyDescent="0.35">
      <c r="A88" t="s">
        <v>37</v>
      </c>
      <c r="B88" t="s">
        <v>4</v>
      </c>
      <c r="C88">
        <v>5297234</v>
      </c>
      <c r="D88">
        <v>3596622</v>
      </c>
      <c r="E88" t="s">
        <v>144</v>
      </c>
      <c r="F88" t="s">
        <v>145</v>
      </c>
      <c r="G88" s="4">
        <v>2025</v>
      </c>
    </row>
    <row r="89" spans="1:7" x14ac:dyDescent="0.35">
      <c r="A89" t="s">
        <v>68</v>
      </c>
      <c r="B89" t="s">
        <v>81</v>
      </c>
      <c r="C89">
        <v>6641746</v>
      </c>
      <c r="D89">
        <v>2466037</v>
      </c>
      <c r="E89">
        <v>4175709</v>
      </c>
      <c r="F89" t="s">
        <v>146</v>
      </c>
      <c r="G89" s="4">
        <v>2025</v>
      </c>
    </row>
    <row r="90" spans="1:7" x14ac:dyDescent="0.35">
      <c r="A90" t="s">
        <v>48</v>
      </c>
      <c r="B90" t="s">
        <v>42</v>
      </c>
      <c r="C90">
        <v>9166769</v>
      </c>
      <c r="D90">
        <v>7049977</v>
      </c>
      <c r="E90">
        <v>2116792</v>
      </c>
      <c r="F90" t="s">
        <v>147</v>
      </c>
      <c r="G90" s="4">
        <v>2024</v>
      </c>
    </row>
    <row r="91" spans="1:7" x14ac:dyDescent="0.35">
      <c r="A91" t="s">
        <v>37</v>
      </c>
      <c r="B91" t="s">
        <v>4</v>
      </c>
      <c r="C91" t="s">
        <v>124</v>
      </c>
      <c r="D91">
        <v>3596622</v>
      </c>
      <c r="E91">
        <v>1700612</v>
      </c>
      <c r="F91" t="s">
        <v>148</v>
      </c>
      <c r="G91" s="4">
        <v>2025</v>
      </c>
    </row>
    <row r="92" spans="1:7" x14ac:dyDescent="0.35">
      <c r="A92" t="s">
        <v>37</v>
      </c>
      <c r="B92" t="s">
        <v>21</v>
      </c>
      <c r="C92">
        <v>9406634</v>
      </c>
      <c r="D92">
        <v>1310092</v>
      </c>
      <c r="E92">
        <v>8096542</v>
      </c>
      <c r="G92" s="4">
        <v>2024</v>
      </c>
    </row>
    <row r="93" spans="1:7" x14ac:dyDescent="0.35">
      <c r="A93" t="s">
        <v>75</v>
      </c>
      <c r="C93">
        <v>8925622</v>
      </c>
      <c r="D93">
        <v>7859625</v>
      </c>
      <c r="E93">
        <v>1065997</v>
      </c>
      <c r="F93" t="s">
        <v>149</v>
      </c>
      <c r="G93" s="4">
        <v>2025</v>
      </c>
    </row>
    <row r="94" spans="1:7" x14ac:dyDescent="0.35">
      <c r="A94" t="s">
        <v>75</v>
      </c>
      <c r="B94" t="s">
        <v>76</v>
      </c>
      <c r="C94">
        <v>8925622</v>
      </c>
      <c r="D94">
        <v>7859625</v>
      </c>
      <c r="E94">
        <v>1065997</v>
      </c>
      <c r="F94" t="s">
        <v>150</v>
      </c>
      <c r="G94" s="4">
        <v>2025</v>
      </c>
    </row>
    <row r="95" spans="1:7" x14ac:dyDescent="0.35">
      <c r="A95" t="s">
        <v>26</v>
      </c>
      <c r="B95" t="s">
        <v>21</v>
      </c>
      <c r="C95">
        <v>13395811</v>
      </c>
      <c r="D95">
        <v>8109917</v>
      </c>
      <c r="E95">
        <v>5285894</v>
      </c>
      <c r="F95" t="s">
        <v>151</v>
      </c>
      <c r="G95" s="4">
        <v>2024</v>
      </c>
    </row>
    <row r="96" spans="1:7" x14ac:dyDescent="0.35">
      <c r="A96" t="s">
        <v>73</v>
      </c>
      <c r="B96" t="s">
        <v>4</v>
      </c>
      <c r="C96">
        <v>6641746</v>
      </c>
      <c r="D96">
        <v>2466037</v>
      </c>
      <c r="E96">
        <v>4175709</v>
      </c>
      <c r="F96" t="s">
        <v>152</v>
      </c>
      <c r="G96" s="4">
        <v>2025</v>
      </c>
    </row>
    <row r="97" spans="1:7" x14ac:dyDescent="0.35">
      <c r="A97" t="s">
        <v>68</v>
      </c>
      <c r="B97" t="s">
        <v>4</v>
      </c>
      <c r="C97" t="s">
        <v>153</v>
      </c>
      <c r="D97">
        <v>2466037</v>
      </c>
      <c r="E97">
        <v>4175709</v>
      </c>
      <c r="F97" t="s">
        <v>154</v>
      </c>
      <c r="G97" s="4">
        <v>2024</v>
      </c>
    </row>
    <row r="98" spans="1:7" x14ac:dyDescent="0.35">
      <c r="A98" t="s">
        <v>155</v>
      </c>
      <c r="B98" t="s">
        <v>21</v>
      </c>
      <c r="C98">
        <v>10422659</v>
      </c>
      <c r="D98">
        <v>8777125</v>
      </c>
      <c r="E98">
        <v>1645534</v>
      </c>
      <c r="F98" t="s">
        <v>156</v>
      </c>
      <c r="G98" s="4">
        <v>2025</v>
      </c>
    </row>
    <row r="99" spans="1:7" x14ac:dyDescent="0.35">
      <c r="A99" t="s">
        <v>104</v>
      </c>
      <c r="B99" t="s">
        <v>4</v>
      </c>
      <c r="C99">
        <v>6629660</v>
      </c>
      <c r="D99">
        <v>3523400</v>
      </c>
      <c r="E99">
        <v>3106260</v>
      </c>
      <c r="F99" t="s">
        <v>157</v>
      </c>
      <c r="G99" s="4">
        <v>2024</v>
      </c>
    </row>
    <row r="100" spans="1:7" x14ac:dyDescent="0.35">
      <c r="A100" t="s">
        <v>48</v>
      </c>
      <c r="B100" t="s">
        <v>4</v>
      </c>
      <c r="C100">
        <v>10887632</v>
      </c>
      <c r="D100">
        <v>3314932</v>
      </c>
      <c r="E100">
        <v>7572700</v>
      </c>
      <c r="F100" t="s">
        <v>158</v>
      </c>
      <c r="G100" s="4">
        <v>2025</v>
      </c>
    </row>
    <row r="101" spans="1:7" x14ac:dyDescent="0.35">
      <c r="A101" t="s">
        <v>64</v>
      </c>
      <c r="B101" t="s">
        <v>21</v>
      </c>
      <c r="C101">
        <v>10655734</v>
      </c>
      <c r="D101">
        <v>2408508</v>
      </c>
      <c r="E101">
        <v>8247226</v>
      </c>
      <c r="F101" t="s">
        <v>159</v>
      </c>
      <c r="G101" s="4">
        <v>2025</v>
      </c>
    </row>
    <row r="102" spans="1:7" x14ac:dyDescent="0.35">
      <c r="A102" t="s">
        <v>95</v>
      </c>
      <c r="B102" t="s">
        <v>4</v>
      </c>
      <c r="C102">
        <v>10932582</v>
      </c>
      <c r="D102">
        <v>9516586</v>
      </c>
      <c r="E102">
        <v>1415996</v>
      </c>
      <c r="F102" t="s">
        <v>160</v>
      </c>
      <c r="G102" s="4">
        <v>2024</v>
      </c>
    </row>
    <row r="103" spans="1:7" x14ac:dyDescent="0.35">
      <c r="A103" t="s">
        <v>75</v>
      </c>
      <c r="B103" t="s">
        <v>21</v>
      </c>
      <c r="C103">
        <v>8925622</v>
      </c>
      <c r="D103">
        <v>7859625</v>
      </c>
      <c r="E103">
        <v>1065997</v>
      </c>
      <c r="F103" t="s">
        <v>161</v>
      </c>
      <c r="G103" s="4">
        <v>2024</v>
      </c>
    </row>
    <row r="104" spans="1:7" x14ac:dyDescent="0.35">
      <c r="A104" t="s">
        <v>48</v>
      </c>
      <c r="B104" t="s">
        <v>21</v>
      </c>
      <c r="C104">
        <v>9166769</v>
      </c>
      <c r="D104">
        <v>7049977</v>
      </c>
      <c r="E104">
        <v>2116792</v>
      </c>
      <c r="F104" t="s">
        <v>162</v>
      </c>
      <c r="G104" s="4">
        <v>2024</v>
      </c>
    </row>
    <row r="105" spans="1:7" x14ac:dyDescent="0.35">
      <c r="A105" t="s">
        <v>37</v>
      </c>
      <c r="B105" t="s">
        <v>4</v>
      </c>
      <c r="C105">
        <v>5297234</v>
      </c>
      <c r="D105" t="s">
        <v>118</v>
      </c>
      <c r="E105">
        <v>1700612</v>
      </c>
      <c r="F105" t="s">
        <v>119</v>
      </c>
      <c r="G105" s="4">
        <v>2024</v>
      </c>
    </row>
    <row r="106" spans="1:7" x14ac:dyDescent="0.35">
      <c r="A106" t="s">
        <v>84</v>
      </c>
      <c r="B106" t="s">
        <v>21</v>
      </c>
      <c r="C106">
        <v>13243123</v>
      </c>
      <c r="D106">
        <v>5468428</v>
      </c>
      <c r="E106">
        <v>7774695</v>
      </c>
      <c r="F106" t="s">
        <v>163</v>
      </c>
      <c r="G106" s="4">
        <v>2024</v>
      </c>
    </row>
    <row r="107" spans="1:7" x14ac:dyDescent="0.35">
      <c r="A107" t="s">
        <v>37</v>
      </c>
      <c r="B107" t="s">
        <v>4</v>
      </c>
      <c r="C107">
        <v>5297234</v>
      </c>
      <c r="D107" t="s">
        <v>118</v>
      </c>
      <c r="E107">
        <v>1700612</v>
      </c>
      <c r="F107" t="s">
        <v>164</v>
      </c>
      <c r="G107" s="4">
        <v>2024</v>
      </c>
    </row>
    <row r="108" spans="1:7" x14ac:dyDescent="0.35">
      <c r="A108" t="s">
        <v>68</v>
      </c>
      <c r="B108" t="s">
        <v>4</v>
      </c>
      <c r="C108">
        <v>6641746</v>
      </c>
      <c r="D108">
        <v>2466037</v>
      </c>
      <c r="E108">
        <v>4175709</v>
      </c>
      <c r="F108" t="s">
        <v>165</v>
      </c>
      <c r="G108" s="4">
        <v>2025</v>
      </c>
    </row>
    <row r="109" spans="1:7" x14ac:dyDescent="0.35">
      <c r="A109" t="s">
        <v>37</v>
      </c>
      <c r="B109" t="s">
        <v>21</v>
      </c>
      <c r="C109">
        <v>9406634</v>
      </c>
      <c r="D109">
        <v>1310092</v>
      </c>
      <c r="E109">
        <v>8096542</v>
      </c>
      <c r="G109" s="4">
        <v>2025</v>
      </c>
    </row>
    <row r="110" spans="1:7" x14ac:dyDescent="0.35">
      <c r="A110" t="s">
        <v>84</v>
      </c>
      <c r="B110" t="s">
        <v>4</v>
      </c>
      <c r="C110">
        <v>2093322</v>
      </c>
      <c r="D110">
        <v>846252</v>
      </c>
      <c r="E110">
        <v>1247070</v>
      </c>
      <c r="F110" t="s">
        <v>166</v>
      </c>
      <c r="G110" s="4">
        <v>2025</v>
      </c>
    </row>
    <row r="111" spans="1:7" x14ac:dyDescent="0.35">
      <c r="A111" t="s">
        <v>84</v>
      </c>
      <c r="B111" t="s">
        <v>4</v>
      </c>
      <c r="C111">
        <v>2093322</v>
      </c>
      <c r="D111">
        <v>846252</v>
      </c>
      <c r="E111">
        <v>1247070</v>
      </c>
      <c r="F111" t="s">
        <v>167</v>
      </c>
      <c r="G111" s="4">
        <v>2025</v>
      </c>
    </row>
    <row r="112" spans="1:7" x14ac:dyDescent="0.35">
      <c r="A112" t="s">
        <v>84</v>
      </c>
      <c r="B112" t="s">
        <v>4</v>
      </c>
      <c r="C112">
        <v>2093322</v>
      </c>
      <c r="D112">
        <v>846252</v>
      </c>
      <c r="E112">
        <v>1247070</v>
      </c>
      <c r="F112" t="s">
        <v>85</v>
      </c>
      <c r="G112" s="4">
        <v>2025</v>
      </c>
    </row>
    <row r="113" spans="1:7" x14ac:dyDescent="0.35">
      <c r="A113" t="s">
        <v>168</v>
      </c>
      <c r="B113" t="s">
        <v>4</v>
      </c>
      <c r="C113">
        <v>7684666</v>
      </c>
      <c r="D113">
        <v>5053533</v>
      </c>
      <c r="E113">
        <v>2631133</v>
      </c>
      <c r="F113" t="s">
        <v>169</v>
      </c>
      <c r="G113" s="4">
        <v>2024</v>
      </c>
    </row>
    <row r="114" spans="1:7" x14ac:dyDescent="0.35">
      <c r="A114" t="s">
        <v>84</v>
      </c>
      <c r="B114" t="s">
        <v>4</v>
      </c>
      <c r="C114" t="s">
        <v>87</v>
      </c>
      <c r="D114">
        <v>846252</v>
      </c>
      <c r="E114">
        <v>1247070</v>
      </c>
      <c r="F114" t="s">
        <v>170</v>
      </c>
      <c r="G114" s="4">
        <v>2025</v>
      </c>
    </row>
    <row r="115" spans="1:7" x14ac:dyDescent="0.35">
      <c r="A115" t="s">
        <v>75</v>
      </c>
      <c r="B115" t="s">
        <v>21</v>
      </c>
      <c r="C115" t="s">
        <v>171</v>
      </c>
      <c r="D115">
        <v>7859625</v>
      </c>
      <c r="E115">
        <v>1065997</v>
      </c>
      <c r="F115" t="s">
        <v>172</v>
      </c>
      <c r="G115" s="4">
        <v>2025</v>
      </c>
    </row>
    <row r="116" spans="1:7" x14ac:dyDescent="0.35">
      <c r="A116" t="s">
        <v>55</v>
      </c>
      <c r="B116" t="s">
        <v>4</v>
      </c>
      <c r="C116">
        <v>7713630</v>
      </c>
      <c r="D116">
        <v>1832250</v>
      </c>
      <c r="E116">
        <v>5881380</v>
      </c>
      <c r="F116" t="s">
        <v>85</v>
      </c>
      <c r="G116" s="4">
        <v>2025</v>
      </c>
    </row>
    <row r="117" spans="1:7" x14ac:dyDescent="0.35">
      <c r="A117" t="s">
        <v>19</v>
      </c>
      <c r="B117" t="s">
        <v>81</v>
      </c>
      <c r="C117">
        <v>9814492</v>
      </c>
      <c r="D117">
        <v>5074629</v>
      </c>
      <c r="E117">
        <v>4739863</v>
      </c>
      <c r="F117" t="s">
        <v>173</v>
      </c>
      <c r="G117" s="4">
        <v>2024</v>
      </c>
    </row>
    <row r="118" spans="1:7" x14ac:dyDescent="0.35">
      <c r="A118" t="s">
        <v>174</v>
      </c>
      <c r="B118" t="s">
        <v>42</v>
      </c>
      <c r="C118" t="s">
        <v>56</v>
      </c>
      <c r="D118">
        <v>5718412</v>
      </c>
      <c r="E118">
        <v>941209</v>
      </c>
      <c r="F118" t="s">
        <v>175</v>
      </c>
      <c r="G118" s="4">
        <v>2025</v>
      </c>
    </row>
    <row r="119" spans="1:7" x14ac:dyDescent="0.35">
      <c r="A119" t="s">
        <v>68</v>
      </c>
      <c r="B119" t="s">
        <v>39</v>
      </c>
      <c r="C119">
        <v>12433378</v>
      </c>
      <c r="D119">
        <v>3398230</v>
      </c>
      <c r="E119">
        <v>9035148</v>
      </c>
      <c r="F119" t="s">
        <v>176</v>
      </c>
      <c r="G119" s="4">
        <v>2024</v>
      </c>
    </row>
    <row r="120" spans="1:7" x14ac:dyDescent="0.35">
      <c r="A120" t="s">
        <v>15</v>
      </c>
      <c r="B120" t="s">
        <v>4</v>
      </c>
      <c r="C120">
        <v>7409657</v>
      </c>
      <c r="D120" t="s">
        <v>177</v>
      </c>
      <c r="E120">
        <v>1138321</v>
      </c>
      <c r="F120" t="s">
        <v>178</v>
      </c>
      <c r="G120" s="4">
        <v>2025</v>
      </c>
    </row>
    <row r="121" spans="1:7" x14ac:dyDescent="0.35">
      <c r="A121" t="s">
        <v>75</v>
      </c>
      <c r="B121" t="s">
        <v>21</v>
      </c>
      <c r="C121">
        <v>8925622</v>
      </c>
      <c r="D121">
        <v>7859625</v>
      </c>
      <c r="E121">
        <v>1065997</v>
      </c>
      <c r="F121" t="s">
        <v>179</v>
      </c>
      <c r="G121" s="4">
        <v>2024</v>
      </c>
    </row>
    <row r="122" spans="1:7" x14ac:dyDescent="0.35">
      <c r="A122" t="s">
        <v>15</v>
      </c>
      <c r="B122" t="s">
        <v>4</v>
      </c>
      <c r="C122">
        <v>7409657</v>
      </c>
      <c r="D122">
        <v>6271336</v>
      </c>
      <c r="E122">
        <v>1138321</v>
      </c>
      <c r="F122" t="s">
        <v>180</v>
      </c>
      <c r="G122" s="4">
        <v>2024</v>
      </c>
    </row>
    <row r="123" spans="1:7" x14ac:dyDescent="0.35">
      <c r="A123" t="s">
        <v>19</v>
      </c>
      <c r="B123" t="s">
        <v>21</v>
      </c>
      <c r="C123">
        <v>13395142</v>
      </c>
      <c r="D123">
        <v>3866714</v>
      </c>
      <c r="E123">
        <v>9528428</v>
      </c>
      <c r="F123" t="s">
        <v>181</v>
      </c>
      <c r="G123" s="4">
        <v>2024</v>
      </c>
    </row>
    <row r="124" spans="1:7" x14ac:dyDescent="0.35">
      <c r="A124" t="s">
        <v>34</v>
      </c>
      <c r="B124" t="s">
        <v>21</v>
      </c>
      <c r="C124">
        <v>10422659</v>
      </c>
      <c r="D124">
        <v>8777125</v>
      </c>
      <c r="E124">
        <v>1645534</v>
      </c>
      <c r="F124" t="s">
        <v>182</v>
      </c>
      <c r="G124" s="4">
        <v>2024</v>
      </c>
    </row>
    <row r="125" spans="1:7" x14ac:dyDescent="0.35">
      <c r="A125" t="s">
        <v>19</v>
      </c>
      <c r="B125" t="s">
        <v>21</v>
      </c>
      <c r="C125">
        <v>13395142</v>
      </c>
      <c r="D125">
        <v>3866714</v>
      </c>
      <c r="E125">
        <v>9528428</v>
      </c>
      <c r="F125" t="s">
        <v>183</v>
      </c>
      <c r="G125" s="4">
        <v>2025</v>
      </c>
    </row>
    <row r="126" spans="1:7" x14ac:dyDescent="0.35">
      <c r="A126" t="s">
        <v>64</v>
      </c>
      <c r="B126" t="s">
        <v>76</v>
      </c>
      <c r="C126">
        <v>10655734</v>
      </c>
      <c r="D126">
        <v>2408508</v>
      </c>
      <c r="E126">
        <v>8247226</v>
      </c>
      <c r="F126" t="s">
        <v>184</v>
      </c>
      <c r="G126" s="4">
        <v>2024</v>
      </c>
    </row>
    <row r="127" spans="1:7" x14ac:dyDescent="0.35">
      <c r="A127" t="s">
        <v>37</v>
      </c>
      <c r="B127" t="s">
        <v>4</v>
      </c>
      <c r="C127">
        <v>5297234</v>
      </c>
      <c r="D127">
        <v>3596622</v>
      </c>
      <c r="E127">
        <v>1700612</v>
      </c>
      <c r="F127" t="s">
        <v>185</v>
      </c>
      <c r="G127" s="4">
        <v>2025</v>
      </c>
    </row>
    <row r="128" spans="1:7" x14ac:dyDescent="0.35">
      <c r="A128" t="s">
        <v>75</v>
      </c>
      <c r="B128" t="s">
        <v>4</v>
      </c>
      <c r="C128">
        <v>3115955</v>
      </c>
      <c r="D128">
        <v>2888010</v>
      </c>
      <c r="E128">
        <v>227945</v>
      </c>
      <c r="F128" t="s">
        <v>186</v>
      </c>
      <c r="G128" s="4">
        <v>2024</v>
      </c>
    </row>
    <row r="129" spans="1:7" x14ac:dyDescent="0.35">
      <c r="A129" t="s">
        <v>73</v>
      </c>
      <c r="B129" t="s">
        <v>4</v>
      </c>
      <c r="C129" t="s">
        <v>153</v>
      </c>
      <c r="D129">
        <v>2466037</v>
      </c>
      <c r="E129">
        <v>4175709</v>
      </c>
      <c r="F129" t="s">
        <v>187</v>
      </c>
      <c r="G129" s="4">
        <v>2024</v>
      </c>
    </row>
    <row r="130" spans="1:7" x14ac:dyDescent="0.35">
      <c r="A130" t="s">
        <v>19</v>
      </c>
      <c r="B130" t="s">
        <v>21</v>
      </c>
      <c r="C130">
        <v>13395142</v>
      </c>
      <c r="D130">
        <v>3866714</v>
      </c>
      <c r="E130">
        <v>9528428</v>
      </c>
      <c r="F130" t="s">
        <v>188</v>
      </c>
      <c r="G130" s="4">
        <v>2025</v>
      </c>
    </row>
    <row r="131" spans="1:7" x14ac:dyDescent="0.35">
      <c r="A131" t="s">
        <v>19</v>
      </c>
      <c r="B131" t="s">
        <v>21</v>
      </c>
      <c r="C131">
        <v>13395142</v>
      </c>
      <c r="D131" t="s">
        <v>189</v>
      </c>
      <c r="E131">
        <v>9528428</v>
      </c>
      <c r="F131" t="s">
        <v>190</v>
      </c>
      <c r="G131" s="4">
        <v>2024</v>
      </c>
    </row>
    <row r="132" spans="1:7" x14ac:dyDescent="0.35">
      <c r="A132" t="s">
        <v>191</v>
      </c>
      <c r="B132" t="s">
        <v>21</v>
      </c>
      <c r="C132">
        <v>9406634</v>
      </c>
      <c r="D132">
        <v>1310092</v>
      </c>
      <c r="E132">
        <v>8096542</v>
      </c>
      <c r="F132" t="s">
        <v>192</v>
      </c>
      <c r="G132" s="4">
        <v>2025</v>
      </c>
    </row>
    <row r="133" spans="1:7" x14ac:dyDescent="0.35">
      <c r="A133" t="s">
        <v>193</v>
      </c>
      <c r="B133" t="s">
        <v>81</v>
      </c>
      <c r="C133">
        <v>9869633</v>
      </c>
      <c r="D133">
        <v>8708702</v>
      </c>
      <c r="E133">
        <v>1160931</v>
      </c>
      <c r="F133" t="s">
        <v>194</v>
      </c>
      <c r="G133" s="4">
        <v>2024</v>
      </c>
    </row>
    <row r="134" spans="1:7" x14ac:dyDescent="0.35">
      <c r="A134" t="s">
        <v>15</v>
      </c>
      <c r="B134" t="s">
        <v>21</v>
      </c>
      <c r="C134">
        <v>17872796</v>
      </c>
      <c r="D134" t="s">
        <v>195</v>
      </c>
      <c r="E134">
        <v>13807775</v>
      </c>
      <c r="F134" t="s">
        <v>196</v>
      </c>
      <c r="G134" s="4">
        <v>2025</v>
      </c>
    </row>
    <row r="135" spans="1:7" x14ac:dyDescent="0.35">
      <c r="A135" t="s">
        <v>15</v>
      </c>
      <c r="B135" t="s">
        <v>4</v>
      </c>
      <c r="C135">
        <v>7409657</v>
      </c>
      <c r="D135">
        <v>6271336</v>
      </c>
      <c r="E135">
        <v>1138321</v>
      </c>
      <c r="F135" t="s">
        <v>197</v>
      </c>
      <c r="G135" s="4">
        <v>2025</v>
      </c>
    </row>
    <row r="136" spans="1:7" x14ac:dyDescent="0.35">
      <c r="A136" t="s">
        <v>26</v>
      </c>
      <c r="B136" t="s">
        <v>21</v>
      </c>
      <c r="C136">
        <v>13395811</v>
      </c>
      <c r="D136">
        <v>8109917</v>
      </c>
      <c r="E136">
        <v>5285894</v>
      </c>
      <c r="F136" t="s">
        <v>198</v>
      </c>
      <c r="G136" s="4">
        <v>2024</v>
      </c>
    </row>
    <row r="137" spans="1:7" x14ac:dyDescent="0.35">
      <c r="A137" t="s">
        <v>75</v>
      </c>
      <c r="B137" t="s">
        <v>4</v>
      </c>
      <c r="C137">
        <v>3115955</v>
      </c>
      <c r="D137">
        <v>2888010</v>
      </c>
      <c r="E137" t="s">
        <v>199</v>
      </c>
      <c r="F137" t="s">
        <v>200</v>
      </c>
      <c r="G137" s="4">
        <v>2024</v>
      </c>
    </row>
    <row r="138" spans="1:7" x14ac:dyDescent="0.35">
      <c r="A138" t="s">
        <v>95</v>
      </c>
      <c r="B138" t="s">
        <v>21</v>
      </c>
      <c r="C138">
        <v>17772619</v>
      </c>
      <c r="D138">
        <v>3751148</v>
      </c>
      <c r="E138">
        <v>14021471</v>
      </c>
      <c r="F138" t="s">
        <v>201</v>
      </c>
      <c r="G138" s="4">
        <v>2024</v>
      </c>
    </row>
    <row r="139" spans="1:7" x14ac:dyDescent="0.35">
      <c r="A139" t="s">
        <v>84</v>
      </c>
      <c r="B139" t="s">
        <v>21</v>
      </c>
      <c r="C139">
        <v>13243123</v>
      </c>
      <c r="D139">
        <v>5468428</v>
      </c>
      <c r="E139">
        <v>7774695</v>
      </c>
      <c r="F139" t="s">
        <v>202</v>
      </c>
      <c r="G139" s="4">
        <v>2024</v>
      </c>
    </row>
    <row r="140" spans="1:7" x14ac:dyDescent="0.35">
      <c r="A140" t="s">
        <v>26</v>
      </c>
      <c r="B140" t="s">
        <v>21</v>
      </c>
      <c r="C140">
        <v>13395811</v>
      </c>
      <c r="D140">
        <v>8109917</v>
      </c>
      <c r="E140">
        <v>5285894</v>
      </c>
      <c r="F140" t="s">
        <v>203</v>
      </c>
      <c r="G140" s="4">
        <v>2024</v>
      </c>
    </row>
    <row r="141" spans="1:7" x14ac:dyDescent="0.35">
      <c r="A141" t="s">
        <v>48</v>
      </c>
      <c r="B141" t="s">
        <v>4</v>
      </c>
      <c r="C141">
        <v>10887632</v>
      </c>
      <c r="D141">
        <v>3314932</v>
      </c>
      <c r="E141">
        <v>7572700</v>
      </c>
      <c r="F141" t="s">
        <v>204</v>
      </c>
      <c r="G141" s="4">
        <v>2024</v>
      </c>
    </row>
    <row r="142" spans="1:7" x14ac:dyDescent="0.35">
      <c r="A142" t="s">
        <v>75</v>
      </c>
      <c r="B142" t="s">
        <v>4</v>
      </c>
      <c r="C142">
        <v>3115955</v>
      </c>
      <c r="D142">
        <v>2888010</v>
      </c>
      <c r="E142">
        <v>227945</v>
      </c>
      <c r="F142" t="s">
        <v>205</v>
      </c>
      <c r="G142" s="4">
        <v>2024</v>
      </c>
    </row>
    <row r="143" spans="1:7" x14ac:dyDescent="0.35">
      <c r="A143" t="s">
        <v>15</v>
      </c>
      <c r="B143" t="s">
        <v>76</v>
      </c>
      <c r="C143">
        <v>17872796</v>
      </c>
      <c r="D143">
        <v>4065021</v>
      </c>
      <c r="E143">
        <v>13807775</v>
      </c>
      <c r="F143" t="s">
        <v>206</v>
      </c>
      <c r="G143" s="4">
        <v>2025</v>
      </c>
    </row>
    <row r="144" spans="1:7" x14ac:dyDescent="0.35">
      <c r="A144" t="s">
        <v>207</v>
      </c>
      <c r="B144" t="s">
        <v>4</v>
      </c>
      <c r="C144">
        <v>3115955</v>
      </c>
      <c r="D144" t="s">
        <v>208</v>
      </c>
      <c r="E144">
        <v>227945</v>
      </c>
      <c r="F144" t="s">
        <v>209</v>
      </c>
      <c r="G144" s="4">
        <v>2024</v>
      </c>
    </row>
    <row r="145" spans="1:7" x14ac:dyDescent="0.35">
      <c r="A145" t="s">
        <v>15</v>
      </c>
      <c r="B145" t="s">
        <v>21</v>
      </c>
      <c r="C145">
        <v>17872796</v>
      </c>
      <c r="D145">
        <v>4065021</v>
      </c>
      <c r="E145">
        <v>13807775</v>
      </c>
      <c r="F145" t="s">
        <v>210</v>
      </c>
      <c r="G145" s="4">
        <v>2025</v>
      </c>
    </row>
    <row r="146" spans="1:7" x14ac:dyDescent="0.35">
      <c r="A146" t="s">
        <v>19</v>
      </c>
      <c r="B146" t="s">
        <v>21</v>
      </c>
      <c r="C146">
        <v>13395142</v>
      </c>
      <c r="D146">
        <v>3866714</v>
      </c>
      <c r="E146">
        <v>9528428</v>
      </c>
      <c r="F146" t="s">
        <v>43</v>
      </c>
      <c r="G146" s="4">
        <v>2025</v>
      </c>
    </row>
    <row r="147" spans="1:7" x14ac:dyDescent="0.35">
      <c r="A147" t="s">
        <v>95</v>
      </c>
      <c r="B147" t="s">
        <v>21</v>
      </c>
      <c r="C147">
        <v>17772619</v>
      </c>
      <c r="D147" t="s">
        <v>211</v>
      </c>
      <c r="E147">
        <v>14021471</v>
      </c>
      <c r="F147" t="s">
        <v>212</v>
      </c>
      <c r="G147" s="4">
        <v>2025</v>
      </c>
    </row>
    <row r="148" spans="1:7" x14ac:dyDescent="0.35">
      <c r="A148" t="s">
        <v>48</v>
      </c>
      <c r="B148" t="s">
        <v>21</v>
      </c>
      <c r="C148">
        <v>9166769</v>
      </c>
      <c r="D148">
        <v>7049977</v>
      </c>
      <c r="E148">
        <v>2116792</v>
      </c>
      <c r="F148" t="s">
        <v>213</v>
      </c>
      <c r="G148" s="4">
        <v>2025</v>
      </c>
    </row>
    <row r="149" spans="1:7" x14ac:dyDescent="0.35">
      <c r="A149" t="s">
        <v>95</v>
      </c>
      <c r="B149" t="s">
        <v>21</v>
      </c>
      <c r="C149">
        <v>17772619</v>
      </c>
      <c r="D149">
        <v>3751148</v>
      </c>
      <c r="E149" t="s">
        <v>115</v>
      </c>
      <c r="F149" t="s">
        <v>214</v>
      </c>
      <c r="G149" s="4">
        <v>2024</v>
      </c>
    </row>
    <row r="150" spans="1:7" x14ac:dyDescent="0.35">
      <c r="A150" t="s">
        <v>84</v>
      </c>
      <c r="B150" t="s">
        <v>4</v>
      </c>
      <c r="C150">
        <v>2093322</v>
      </c>
      <c r="D150">
        <v>846252</v>
      </c>
      <c r="E150">
        <v>1247070</v>
      </c>
      <c r="F150" t="s">
        <v>215</v>
      </c>
      <c r="G150" s="4">
        <v>2024</v>
      </c>
    </row>
    <row r="151" spans="1:7" x14ac:dyDescent="0.35">
      <c r="A151" t="s">
        <v>207</v>
      </c>
      <c r="B151" t="s">
        <v>21</v>
      </c>
      <c r="C151" t="s">
        <v>171</v>
      </c>
      <c r="D151">
        <v>7859625</v>
      </c>
      <c r="E151">
        <v>1065997</v>
      </c>
      <c r="F151" t="s">
        <v>216</v>
      </c>
      <c r="G151" s="4">
        <v>2025</v>
      </c>
    </row>
    <row r="152" spans="1:7" x14ac:dyDescent="0.35">
      <c r="A152" t="s">
        <v>19</v>
      </c>
      <c r="B152" t="s">
        <v>21</v>
      </c>
      <c r="C152">
        <v>13395142</v>
      </c>
      <c r="D152">
        <v>3866714</v>
      </c>
      <c r="E152">
        <v>9528428</v>
      </c>
      <c r="F152" t="s">
        <v>217</v>
      </c>
      <c r="G152" s="4">
        <v>2025</v>
      </c>
    </row>
    <row r="153" spans="1:7" x14ac:dyDescent="0.35">
      <c r="A153" t="s">
        <v>64</v>
      </c>
      <c r="B153" t="s">
        <v>21</v>
      </c>
      <c r="C153">
        <v>10655734</v>
      </c>
      <c r="D153">
        <v>2408508</v>
      </c>
      <c r="E153">
        <v>8247226</v>
      </c>
      <c r="F153" t="s">
        <v>218</v>
      </c>
      <c r="G153" s="4">
        <v>2025</v>
      </c>
    </row>
    <row r="154" spans="1:7" x14ac:dyDescent="0.35">
      <c r="A154" t="s">
        <v>64</v>
      </c>
      <c r="B154" t="s">
        <v>21</v>
      </c>
      <c r="C154">
        <v>10655734</v>
      </c>
      <c r="D154" t="s">
        <v>219</v>
      </c>
      <c r="E154">
        <v>8247226</v>
      </c>
      <c r="F154" t="s">
        <v>220</v>
      </c>
      <c r="G154" s="4">
        <v>2025</v>
      </c>
    </row>
    <row r="155" spans="1:7" x14ac:dyDescent="0.35">
      <c r="A155" t="s">
        <v>95</v>
      </c>
      <c r="B155" t="s">
        <v>4</v>
      </c>
      <c r="C155" t="s">
        <v>221</v>
      </c>
      <c r="D155">
        <v>9516586</v>
      </c>
      <c r="E155">
        <v>1415996</v>
      </c>
      <c r="F155" t="s">
        <v>180</v>
      </c>
      <c r="G155" s="4">
        <v>2024</v>
      </c>
    </row>
    <row r="156" spans="1:7" x14ac:dyDescent="0.35">
      <c r="A156" t="s">
        <v>55</v>
      </c>
      <c r="B156" t="s">
        <v>4</v>
      </c>
      <c r="C156">
        <v>7713630</v>
      </c>
      <c r="D156">
        <v>1832250</v>
      </c>
      <c r="E156" t="s">
        <v>222</v>
      </c>
      <c r="F156" t="s">
        <v>223</v>
      </c>
      <c r="G156" s="4">
        <v>2024</v>
      </c>
    </row>
    <row r="157" spans="1:7" x14ac:dyDescent="0.35">
      <c r="A157" t="s">
        <v>55</v>
      </c>
      <c r="B157" t="s">
        <v>39</v>
      </c>
      <c r="C157">
        <v>6659621</v>
      </c>
      <c r="D157" t="s">
        <v>57</v>
      </c>
      <c r="E157">
        <v>941209</v>
      </c>
      <c r="F157" t="s">
        <v>224</v>
      </c>
      <c r="G157" s="4">
        <v>2024</v>
      </c>
    </row>
    <row r="158" spans="1:7" x14ac:dyDescent="0.35">
      <c r="A158" t="s">
        <v>225</v>
      </c>
      <c r="B158" t="s">
        <v>21</v>
      </c>
      <c r="C158">
        <v>10422659</v>
      </c>
      <c r="D158">
        <v>8777125</v>
      </c>
      <c r="E158">
        <v>1645534</v>
      </c>
      <c r="F158" t="s">
        <v>226</v>
      </c>
      <c r="G158" s="4">
        <v>2024</v>
      </c>
    </row>
    <row r="159" spans="1:7" x14ac:dyDescent="0.35">
      <c r="A159" t="s">
        <v>104</v>
      </c>
      <c r="B159" t="s">
        <v>4</v>
      </c>
      <c r="C159">
        <v>6629660</v>
      </c>
      <c r="D159">
        <v>3523400</v>
      </c>
      <c r="E159">
        <v>3106260</v>
      </c>
      <c r="F159" t="s">
        <v>227</v>
      </c>
      <c r="G159" s="4">
        <v>2025</v>
      </c>
    </row>
    <row r="160" spans="1:7" x14ac:dyDescent="0.35">
      <c r="A160" t="s">
        <v>228</v>
      </c>
      <c r="B160" t="s">
        <v>21</v>
      </c>
      <c r="C160">
        <v>6659621</v>
      </c>
      <c r="D160">
        <v>5718412</v>
      </c>
      <c r="E160" t="s">
        <v>58</v>
      </c>
      <c r="F160" t="s">
        <v>229</v>
      </c>
      <c r="G160" s="4">
        <v>2024</v>
      </c>
    </row>
    <row r="161" spans="1:7" x14ac:dyDescent="0.35">
      <c r="A161" t="s">
        <v>15</v>
      </c>
      <c r="B161" t="s">
        <v>4</v>
      </c>
      <c r="C161" t="s">
        <v>230</v>
      </c>
      <c r="D161">
        <v>6271336</v>
      </c>
      <c r="E161">
        <v>1138321</v>
      </c>
      <c r="F161" t="s">
        <v>227</v>
      </c>
      <c r="G161" s="4">
        <v>2025</v>
      </c>
    </row>
    <row r="162" spans="1:7" x14ac:dyDescent="0.35">
      <c r="A162" t="s">
        <v>68</v>
      </c>
      <c r="B162" t="s">
        <v>4</v>
      </c>
      <c r="C162">
        <v>6641746</v>
      </c>
      <c r="D162" t="s">
        <v>231</v>
      </c>
      <c r="E162">
        <v>4175709</v>
      </c>
      <c r="F162" t="s">
        <v>232</v>
      </c>
      <c r="G162" s="4">
        <v>2024</v>
      </c>
    </row>
    <row r="163" spans="1:7" x14ac:dyDescent="0.35">
      <c r="A163" t="s">
        <v>15</v>
      </c>
      <c r="B163" t="s">
        <v>4</v>
      </c>
      <c r="C163">
        <v>7409657</v>
      </c>
      <c r="D163">
        <v>6271336</v>
      </c>
      <c r="E163">
        <v>1138321</v>
      </c>
      <c r="F163" t="s">
        <v>166</v>
      </c>
      <c r="G163" s="4">
        <v>2025</v>
      </c>
    </row>
    <row r="164" spans="1:7" x14ac:dyDescent="0.35">
      <c r="A164" t="s">
        <v>108</v>
      </c>
      <c r="B164" t="s">
        <v>21</v>
      </c>
      <c r="C164">
        <v>6659621</v>
      </c>
      <c r="D164">
        <v>5718412</v>
      </c>
      <c r="E164">
        <v>941209</v>
      </c>
      <c r="F164" t="s">
        <v>141</v>
      </c>
      <c r="G164" s="4">
        <v>2025</v>
      </c>
    </row>
    <row r="165" spans="1:7" x14ac:dyDescent="0.35">
      <c r="A165" t="s">
        <v>37</v>
      </c>
      <c r="B165" t="s">
        <v>21</v>
      </c>
      <c r="C165">
        <v>9406634</v>
      </c>
      <c r="D165">
        <v>1310092</v>
      </c>
      <c r="E165">
        <v>8096542</v>
      </c>
      <c r="F165" t="s">
        <v>233</v>
      </c>
      <c r="G165" s="4">
        <v>2025</v>
      </c>
    </row>
    <row r="166" spans="1:7" x14ac:dyDescent="0.35">
      <c r="A166" t="s">
        <v>234</v>
      </c>
      <c r="B166" t="s">
        <v>76</v>
      </c>
      <c r="C166">
        <v>10655734</v>
      </c>
      <c r="D166">
        <v>2408508</v>
      </c>
      <c r="E166">
        <v>8247226</v>
      </c>
      <c r="F166" t="s">
        <v>235</v>
      </c>
      <c r="G166" s="4">
        <v>2024</v>
      </c>
    </row>
    <row r="167" spans="1:7" x14ac:dyDescent="0.35">
      <c r="A167" t="s">
        <v>34</v>
      </c>
      <c r="B167" t="s">
        <v>21</v>
      </c>
      <c r="C167">
        <v>10422659</v>
      </c>
      <c r="D167" t="s">
        <v>236</v>
      </c>
      <c r="E167" t="s">
        <v>237</v>
      </c>
      <c r="F167" t="s">
        <v>238</v>
      </c>
      <c r="G167" s="4">
        <v>2024</v>
      </c>
    </row>
    <row r="168" spans="1:7" x14ac:dyDescent="0.35">
      <c r="A168" t="s">
        <v>19</v>
      </c>
      <c r="B168" t="s">
        <v>4</v>
      </c>
      <c r="C168">
        <v>9814492</v>
      </c>
      <c r="D168" t="s">
        <v>239</v>
      </c>
      <c r="E168">
        <v>4739863</v>
      </c>
      <c r="F168" t="s">
        <v>186</v>
      </c>
      <c r="G168" s="4">
        <v>2024</v>
      </c>
    </row>
    <row r="169" spans="1:7" x14ac:dyDescent="0.35">
      <c r="A169" t="s">
        <v>55</v>
      </c>
      <c r="B169" t="s">
        <v>4</v>
      </c>
      <c r="C169">
        <v>7713630</v>
      </c>
      <c r="D169">
        <v>1832250</v>
      </c>
      <c r="E169">
        <v>5881380</v>
      </c>
      <c r="F169" t="s">
        <v>85</v>
      </c>
      <c r="G169" s="4">
        <v>2025</v>
      </c>
    </row>
    <row r="170" spans="1:7" x14ac:dyDescent="0.35">
      <c r="A170" t="s">
        <v>95</v>
      </c>
      <c r="B170" t="s">
        <v>4</v>
      </c>
      <c r="C170">
        <v>10932582</v>
      </c>
      <c r="D170">
        <v>9516586</v>
      </c>
      <c r="E170">
        <v>1415996</v>
      </c>
      <c r="F170" t="s">
        <v>240</v>
      </c>
      <c r="G170" s="4">
        <v>2024</v>
      </c>
    </row>
    <row r="171" spans="1:7" x14ac:dyDescent="0.35">
      <c r="A171" t="s">
        <v>75</v>
      </c>
      <c r="B171" t="s">
        <v>21</v>
      </c>
      <c r="C171">
        <v>8925622</v>
      </c>
      <c r="D171">
        <v>7859625</v>
      </c>
      <c r="E171">
        <v>1065997</v>
      </c>
      <c r="F171" t="s">
        <v>241</v>
      </c>
      <c r="G171" s="4">
        <v>2025</v>
      </c>
    </row>
    <row r="172" spans="1:7" x14ac:dyDescent="0.35">
      <c r="A172" t="s">
        <v>242</v>
      </c>
      <c r="B172" t="s">
        <v>39</v>
      </c>
      <c r="C172">
        <v>9406634</v>
      </c>
      <c r="D172">
        <v>1310092</v>
      </c>
      <c r="E172">
        <v>8096542</v>
      </c>
      <c r="F172" t="s">
        <v>243</v>
      </c>
      <c r="G172" s="4">
        <v>2025</v>
      </c>
    </row>
    <row r="173" spans="1:7" x14ac:dyDescent="0.35">
      <c r="B173" t="s">
        <v>4</v>
      </c>
      <c r="C173">
        <v>5297234</v>
      </c>
      <c r="D173">
        <v>3596622</v>
      </c>
      <c r="E173">
        <v>1700612</v>
      </c>
      <c r="F173" t="s">
        <v>244</v>
      </c>
      <c r="G173" s="4">
        <v>2024</v>
      </c>
    </row>
    <row r="174" spans="1:7" x14ac:dyDescent="0.35">
      <c r="A174" t="s">
        <v>26</v>
      </c>
      <c r="B174" t="s">
        <v>4</v>
      </c>
      <c r="C174">
        <v>7684666</v>
      </c>
      <c r="D174">
        <v>5053533</v>
      </c>
      <c r="E174">
        <v>2631133</v>
      </c>
      <c r="F174" t="s">
        <v>245</v>
      </c>
      <c r="G174" s="4">
        <v>2024</v>
      </c>
    </row>
    <row r="175" spans="1:7" x14ac:dyDescent="0.35">
      <c r="A175" t="s">
        <v>55</v>
      </c>
      <c r="B175" t="s">
        <v>21</v>
      </c>
      <c r="C175">
        <v>6659621</v>
      </c>
      <c r="D175">
        <v>5718412</v>
      </c>
      <c r="E175">
        <v>941209</v>
      </c>
      <c r="G175" s="4">
        <v>2024</v>
      </c>
    </row>
    <row r="176" spans="1:7" x14ac:dyDescent="0.35">
      <c r="A176" t="s">
        <v>246</v>
      </c>
      <c r="B176" t="s">
        <v>4</v>
      </c>
      <c r="C176">
        <v>10887632</v>
      </c>
      <c r="D176" t="s">
        <v>247</v>
      </c>
      <c r="E176">
        <v>7572700</v>
      </c>
      <c r="F176" t="s">
        <v>248</v>
      </c>
      <c r="G176" s="4">
        <v>2024</v>
      </c>
    </row>
    <row r="177" spans="1:7" x14ac:dyDescent="0.35">
      <c r="A177" t="s">
        <v>15</v>
      </c>
      <c r="B177" t="s">
        <v>21</v>
      </c>
      <c r="C177">
        <v>17872796</v>
      </c>
      <c r="D177">
        <v>4065021</v>
      </c>
      <c r="E177">
        <v>13807775</v>
      </c>
      <c r="F177" t="s">
        <v>249</v>
      </c>
      <c r="G177" s="4">
        <v>2024</v>
      </c>
    </row>
    <row r="178" spans="1:7" x14ac:dyDescent="0.35">
      <c r="A178" t="s">
        <v>15</v>
      </c>
      <c r="B178" t="s">
        <v>21</v>
      </c>
      <c r="C178">
        <v>17872796</v>
      </c>
      <c r="D178">
        <v>4065021</v>
      </c>
      <c r="E178">
        <v>13807775</v>
      </c>
      <c r="F178" t="s">
        <v>250</v>
      </c>
      <c r="G178" s="4">
        <v>2025</v>
      </c>
    </row>
    <row r="179" spans="1:7" x14ac:dyDescent="0.35">
      <c r="A179" t="s">
        <v>34</v>
      </c>
      <c r="B179" t="s">
        <v>39</v>
      </c>
      <c r="C179">
        <v>10422659</v>
      </c>
      <c r="D179">
        <v>8777125</v>
      </c>
      <c r="E179">
        <v>1645534</v>
      </c>
      <c r="F179" t="s">
        <v>251</v>
      </c>
      <c r="G179" s="4">
        <v>2024</v>
      </c>
    </row>
    <row r="180" spans="1:7" x14ac:dyDescent="0.35">
      <c r="A180" t="s">
        <v>84</v>
      </c>
      <c r="B180" t="s">
        <v>4</v>
      </c>
      <c r="C180">
        <v>2093322</v>
      </c>
      <c r="D180">
        <v>846252</v>
      </c>
      <c r="E180">
        <v>1247070</v>
      </c>
      <c r="F180" t="s">
        <v>252</v>
      </c>
      <c r="G180" s="4">
        <v>2025</v>
      </c>
    </row>
    <row r="181" spans="1:7" x14ac:dyDescent="0.35">
      <c r="A181" t="s">
        <v>68</v>
      </c>
      <c r="B181" t="s">
        <v>21</v>
      </c>
      <c r="C181">
        <v>12433378</v>
      </c>
      <c r="D181">
        <v>3398230</v>
      </c>
      <c r="E181">
        <v>9035148</v>
      </c>
      <c r="F181" t="s">
        <v>253</v>
      </c>
      <c r="G181" s="4">
        <v>2025</v>
      </c>
    </row>
    <row r="182" spans="1:7" x14ac:dyDescent="0.35">
      <c r="A182" t="s">
        <v>19</v>
      </c>
      <c r="B182" t="s">
        <v>4</v>
      </c>
      <c r="C182">
        <v>9814492</v>
      </c>
      <c r="D182">
        <v>5074629</v>
      </c>
      <c r="E182">
        <v>4739863</v>
      </c>
      <c r="F182" t="s">
        <v>254</v>
      </c>
      <c r="G182" s="4">
        <v>2024</v>
      </c>
    </row>
    <row r="183" spans="1:7" x14ac:dyDescent="0.35">
      <c r="A183" t="s">
        <v>37</v>
      </c>
      <c r="B183" t="s">
        <v>42</v>
      </c>
      <c r="C183">
        <v>9406634</v>
      </c>
      <c r="D183">
        <v>1310092</v>
      </c>
      <c r="E183">
        <v>8096542</v>
      </c>
      <c r="F183" t="s">
        <v>255</v>
      </c>
      <c r="G183" s="4">
        <v>2025</v>
      </c>
    </row>
    <row r="184" spans="1:7" x14ac:dyDescent="0.35">
      <c r="A184" t="s">
        <v>48</v>
      </c>
      <c r="B184" t="s">
        <v>4</v>
      </c>
      <c r="C184">
        <v>10887632</v>
      </c>
      <c r="D184">
        <v>3314932</v>
      </c>
      <c r="E184">
        <v>7572700</v>
      </c>
      <c r="F184" t="s">
        <v>256</v>
      </c>
      <c r="G184" s="4">
        <v>2025</v>
      </c>
    </row>
    <row r="185" spans="1:7" x14ac:dyDescent="0.35">
      <c r="A185" t="s">
        <v>84</v>
      </c>
      <c r="B185" t="s">
        <v>21</v>
      </c>
      <c r="C185">
        <v>13243123</v>
      </c>
      <c r="D185">
        <v>5468428</v>
      </c>
      <c r="E185">
        <v>7774695</v>
      </c>
      <c r="F185" t="s">
        <v>257</v>
      </c>
      <c r="G185" s="4">
        <v>2025</v>
      </c>
    </row>
    <row r="186" spans="1:7" x14ac:dyDescent="0.35">
      <c r="A186" t="s">
        <v>34</v>
      </c>
      <c r="B186" t="s">
        <v>4</v>
      </c>
      <c r="C186">
        <v>9869633</v>
      </c>
      <c r="D186" t="s">
        <v>258</v>
      </c>
      <c r="E186">
        <v>1160931</v>
      </c>
      <c r="F186" t="s">
        <v>259</v>
      </c>
      <c r="G186" s="4">
        <v>2024</v>
      </c>
    </row>
    <row r="187" spans="1:7" x14ac:dyDescent="0.35">
      <c r="A187" t="s">
        <v>48</v>
      </c>
      <c r="B187" t="s">
        <v>21</v>
      </c>
      <c r="C187">
        <v>9166769</v>
      </c>
      <c r="D187">
        <v>7049977</v>
      </c>
      <c r="E187">
        <v>2116792</v>
      </c>
      <c r="F187" t="s">
        <v>260</v>
      </c>
      <c r="G187" s="4">
        <v>2024</v>
      </c>
    </row>
    <row r="188" spans="1:7" x14ac:dyDescent="0.35">
      <c r="A188" t="s">
        <v>64</v>
      </c>
      <c r="B188" t="s">
        <v>21</v>
      </c>
      <c r="C188">
        <v>10655734</v>
      </c>
      <c r="D188">
        <v>2408508</v>
      </c>
      <c r="E188">
        <v>8247226</v>
      </c>
      <c r="F188" t="s">
        <v>261</v>
      </c>
      <c r="G188" s="4">
        <v>2025</v>
      </c>
    </row>
    <row r="189" spans="1:7" x14ac:dyDescent="0.35">
      <c r="A189" t="s">
        <v>64</v>
      </c>
      <c r="B189" t="s">
        <v>4</v>
      </c>
      <c r="C189">
        <v>6629660</v>
      </c>
      <c r="D189">
        <v>3523400</v>
      </c>
      <c r="E189">
        <v>3106260</v>
      </c>
      <c r="F189" t="s">
        <v>262</v>
      </c>
      <c r="G189" s="4">
        <v>2024</v>
      </c>
    </row>
    <row r="190" spans="1:7" x14ac:dyDescent="0.35">
      <c r="A190" t="s">
        <v>48</v>
      </c>
      <c r="B190" t="s">
        <v>4</v>
      </c>
      <c r="C190">
        <v>10887632</v>
      </c>
      <c r="D190">
        <v>3314932</v>
      </c>
      <c r="E190">
        <v>7572700</v>
      </c>
      <c r="F190" t="s">
        <v>263</v>
      </c>
      <c r="G190" s="4">
        <v>2024</v>
      </c>
    </row>
    <row r="191" spans="1:7" x14ac:dyDescent="0.35">
      <c r="A191" t="s">
        <v>68</v>
      </c>
      <c r="B191" t="s">
        <v>4</v>
      </c>
      <c r="C191" t="s">
        <v>153</v>
      </c>
      <c r="D191">
        <v>2466037</v>
      </c>
      <c r="E191">
        <v>4175709</v>
      </c>
      <c r="F191" t="s">
        <v>264</v>
      </c>
      <c r="G191" s="4">
        <v>2024</v>
      </c>
    </row>
    <row r="192" spans="1:7" x14ac:dyDescent="0.35">
      <c r="A192" t="s">
        <v>73</v>
      </c>
      <c r="B192" t="s">
        <v>42</v>
      </c>
      <c r="C192">
        <v>12433378</v>
      </c>
      <c r="D192">
        <v>3398230</v>
      </c>
      <c r="E192">
        <v>9035148</v>
      </c>
      <c r="F192" t="s">
        <v>265</v>
      </c>
      <c r="G192" s="4">
        <v>2025</v>
      </c>
    </row>
    <row r="193" spans="1:7" x14ac:dyDescent="0.35">
      <c r="A193" t="s">
        <v>26</v>
      </c>
      <c r="B193" t="s">
        <v>4</v>
      </c>
      <c r="C193">
        <v>7684666</v>
      </c>
      <c r="D193" t="s">
        <v>266</v>
      </c>
      <c r="E193" t="s">
        <v>32</v>
      </c>
      <c r="F193" t="s">
        <v>267</v>
      </c>
      <c r="G193" s="4">
        <v>2024</v>
      </c>
    </row>
    <row r="194" spans="1:7" x14ac:dyDescent="0.35">
      <c r="A194" t="s">
        <v>84</v>
      </c>
      <c r="B194" t="s">
        <v>4</v>
      </c>
      <c r="C194">
        <v>2093322</v>
      </c>
      <c r="D194">
        <v>846252</v>
      </c>
      <c r="E194">
        <v>1247070</v>
      </c>
      <c r="F194" t="s">
        <v>268</v>
      </c>
      <c r="G194" s="4">
        <v>2025</v>
      </c>
    </row>
    <row r="195" spans="1:7" x14ac:dyDescent="0.35">
      <c r="A195" t="s">
        <v>95</v>
      </c>
      <c r="B195" t="s">
        <v>21</v>
      </c>
      <c r="C195">
        <v>17772619</v>
      </c>
      <c r="D195">
        <v>3751148</v>
      </c>
      <c r="E195" t="s">
        <v>115</v>
      </c>
      <c r="F195" t="s">
        <v>269</v>
      </c>
      <c r="G195" s="4">
        <v>2024</v>
      </c>
    </row>
    <row r="196" spans="1:7" x14ac:dyDescent="0.35">
      <c r="A196" t="s">
        <v>26</v>
      </c>
      <c r="B196" t="s">
        <v>21</v>
      </c>
      <c r="C196">
        <v>13395811</v>
      </c>
      <c r="D196">
        <v>8109917</v>
      </c>
      <c r="E196">
        <v>5285894</v>
      </c>
      <c r="F196" t="s">
        <v>270</v>
      </c>
      <c r="G196" s="4">
        <v>2025</v>
      </c>
    </row>
    <row r="197" spans="1:7" x14ac:dyDescent="0.35">
      <c r="A197" t="s">
        <v>75</v>
      </c>
      <c r="B197" t="s">
        <v>4</v>
      </c>
      <c r="C197">
        <v>3115955</v>
      </c>
      <c r="D197">
        <v>2888010</v>
      </c>
      <c r="E197">
        <v>227945</v>
      </c>
      <c r="F197" t="s">
        <v>271</v>
      </c>
      <c r="G197" s="4">
        <v>2025</v>
      </c>
    </row>
    <row r="198" spans="1:7" x14ac:dyDescent="0.35">
      <c r="A198" t="s">
        <v>108</v>
      </c>
      <c r="B198" t="s">
        <v>21</v>
      </c>
      <c r="C198">
        <v>6659621</v>
      </c>
      <c r="D198">
        <v>5718412</v>
      </c>
      <c r="E198">
        <v>941209</v>
      </c>
      <c r="F198" t="s">
        <v>165</v>
      </c>
      <c r="G198" s="4">
        <v>2025</v>
      </c>
    </row>
    <row r="199" spans="1:7" x14ac:dyDescent="0.35">
      <c r="A199" t="s">
        <v>68</v>
      </c>
      <c r="B199" t="s">
        <v>81</v>
      </c>
      <c r="C199">
        <v>6641746</v>
      </c>
      <c r="D199">
        <v>2466037</v>
      </c>
      <c r="E199">
        <v>4175709</v>
      </c>
      <c r="F199" t="s">
        <v>272</v>
      </c>
      <c r="G199" s="4">
        <v>2024</v>
      </c>
    </row>
    <row r="200" spans="1:7" x14ac:dyDescent="0.35">
      <c r="A200" t="s">
        <v>48</v>
      </c>
      <c r="B200" t="s">
        <v>273</v>
      </c>
      <c r="C200">
        <v>10887632</v>
      </c>
      <c r="D200">
        <v>3314932</v>
      </c>
      <c r="E200">
        <v>7572700</v>
      </c>
      <c r="F200" t="s">
        <v>274</v>
      </c>
      <c r="G200" s="4">
        <v>2024</v>
      </c>
    </row>
    <row r="201" spans="1:7" x14ac:dyDescent="0.35">
      <c r="A201" t="s">
        <v>55</v>
      </c>
      <c r="B201" t="s">
        <v>4</v>
      </c>
      <c r="C201">
        <v>7713630</v>
      </c>
      <c r="D201">
        <v>1832250</v>
      </c>
      <c r="E201">
        <v>5881380</v>
      </c>
      <c r="F201" t="s">
        <v>275</v>
      </c>
      <c r="G201" s="4">
        <v>2024</v>
      </c>
    </row>
    <row r="202" spans="1:7" x14ac:dyDescent="0.35">
      <c r="A202" t="s">
        <v>15</v>
      </c>
      <c r="B202" t="s">
        <v>21</v>
      </c>
      <c r="C202">
        <v>17872796</v>
      </c>
      <c r="D202">
        <v>4065021</v>
      </c>
      <c r="E202">
        <v>13807775</v>
      </c>
      <c r="F202" t="s">
        <v>276</v>
      </c>
      <c r="G202" s="4">
        <v>2025</v>
      </c>
    </row>
    <row r="203" spans="1:7" x14ac:dyDescent="0.35">
      <c r="A203" t="s">
        <v>193</v>
      </c>
      <c r="B203" t="s">
        <v>21</v>
      </c>
      <c r="C203">
        <v>10422659</v>
      </c>
      <c r="D203">
        <v>8777125</v>
      </c>
      <c r="E203">
        <v>1645534</v>
      </c>
      <c r="F203" t="s">
        <v>277</v>
      </c>
      <c r="G203" s="4">
        <v>2025</v>
      </c>
    </row>
    <row r="204" spans="1:7" x14ac:dyDescent="0.35">
      <c r="A204" t="s">
        <v>26</v>
      </c>
      <c r="B204" t="s">
        <v>21</v>
      </c>
      <c r="C204">
        <v>13395811</v>
      </c>
      <c r="D204">
        <v>8109917</v>
      </c>
      <c r="E204">
        <v>5285894</v>
      </c>
      <c r="F204" t="s">
        <v>278</v>
      </c>
      <c r="G204" s="4">
        <v>2025</v>
      </c>
    </row>
    <row r="205" spans="1:7" x14ac:dyDescent="0.35">
      <c r="A205" t="s">
        <v>15</v>
      </c>
      <c r="B205" t="s">
        <v>21</v>
      </c>
      <c r="C205">
        <v>17872796</v>
      </c>
      <c r="D205">
        <v>4065021</v>
      </c>
      <c r="E205">
        <v>13807775</v>
      </c>
      <c r="F205" t="s">
        <v>279</v>
      </c>
      <c r="G205" s="4">
        <v>2025</v>
      </c>
    </row>
    <row r="206" spans="1:7" x14ac:dyDescent="0.35">
      <c r="A206" t="s">
        <v>48</v>
      </c>
      <c r="B206" t="s">
        <v>4</v>
      </c>
      <c r="C206">
        <v>10887632</v>
      </c>
      <c r="D206">
        <v>3314932</v>
      </c>
      <c r="E206">
        <v>7572700</v>
      </c>
      <c r="F206" t="s">
        <v>280</v>
      </c>
      <c r="G206" s="4">
        <v>2024</v>
      </c>
    </row>
    <row r="207" spans="1:7" x14ac:dyDescent="0.35">
      <c r="A207" t="s">
        <v>281</v>
      </c>
      <c r="B207" t="s">
        <v>21</v>
      </c>
      <c r="C207">
        <v>13243123</v>
      </c>
      <c r="D207">
        <v>5468428</v>
      </c>
      <c r="E207">
        <v>7774695</v>
      </c>
      <c r="F207" t="s">
        <v>282</v>
      </c>
      <c r="G207" s="4">
        <v>2025</v>
      </c>
    </row>
    <row r="208" spans="1:7" x14ac:dyDescent="0.35">
      <c r="A208" t="s">
        <v>19</v>
      </c>
      <c r="B208" t="s">
        <v>4</v>
      </c>
      <c r="C208" t="s">
        <v>283</v>
      </c>
      <c r="D208">
        <v>5074629</v>
      </c>
      <c r="E208">
        <v>4739863</v>
      </c>
      <c r="F208" t="s">
        <v>284</v>
      </c>
      <c r="G208" s="4">
        <v>2024</v>
      </c>
    </row>
    <row r="209" spans="1:7" x14ac:dyDescent="0.35">
      <c r="A209" t="s">
        <v>55</v>
      </c>
      <c r="B209" t="s">
        <v>21</v>
      </c>
      <c r="C209">
        <v>6659621</v>
      </c>
      <c r="D209">
        <v>5718412</v>
      </c>
      <c r="E209">
        <v>941209</v>
      </c>
      <c r="F209" t="s">
        <v>285</v>
      </c>
      <c r="G209" s="4">
        <v>2024</v>
      </c>
    </row>
    <row r="210" spans="1:7" x14ac:dyDescent="0.35">
      <c r="A210" t="s">
        <v>64</v>
      </c>
      <c r="B210" t="s">
        <v>21</v>
      </c>
      <c r="C210">
        <v>10655734</v>
      </c>
      <c r="D210">
        <v>2408508</v>
      </c>
      <c r="E210">
        <v>8247226</v>
      </c>
      <c r="F210" t="s">
        <v>125</v>
      </c>
      <c r="G210" s="4">
        <v>2024</v>
      </c>
    </row>
    <row r="211" spans="1:7" x14ac:dyDescent="0.35">
      <c r="A211" t="s">
        <v>84</v>
      </c>
      <c r="B211" t="s">
        <v>4</v>
      </c>
      <c r="C211">
        <v>2093322</v>
      </c>
      <c r="D211">
        <v>846252</v>
      </c>
      <c r="E211">
        <v>1247070</v>
      </c>
      <c r="F211" t="s">
        <v>286</v>
      </c>
      <c r="G211" s="4">
        <v>2024</v>
      </c>
    </row>
    <row r="212" spans="1:7" x14ac:dyDescent="0.35">
      <c r="A212" t="s">
        <v>34</v>
      </c>
      <c r="B212" t="s">
        <v>21</v>
      </c>
      <c r="C212">
        <v>10422659</v>
      </c>
      <c r="D212" t="s">
        <v>236</v>
      </c>
      <c r="E212">
        <v>1645534</v>
      </c>
      <c r="F212" t="s">
        <v>287</v>
      </c>
      <c r="G212" s="4">
        <v>2024</v>
      </c>
    </row>
    <row r="213" spans="1:7" x14ac:dyDescent="0.35">
      <c r="A213" t="s">
        <v>19</v>
      </c>
      <c r="B213" t="s">
        <v>4</v>
      </c>
      <c r="C213">
        <v>9814492</v>
      </c>
      <c r="D213">
        <v>5074629</v>
      </c>
      <c r="E213">
        <v>4739863</v>
      </c>
      <c r="F213" t="s">
        <v>288</v>
      </c>
      <c r="G213" s="4">
        <v>2024</v>
      </c>
    </row>
    <row r="214" spans="1:7" x14ac:dyDescent="0.35">
      <c r="A214" t="s">
        <v>15</v>
      </c>
      <c r="B214" t="s">
        <v>4</v>
      </c>
      <c r="C214">
        <v>7409657</v>
      </c>
      <c r="D214">
        <v>6271336</v>
      </c>
      <c r="E214">
        <v>1138321</v>
      </c>
      <c r="F214" t="s">
        <v>289</v>
      </c>
      <c r="G214" s="4">
        <v>2025</v>
      </c>
    </row>
    <row r="215" spans="1:7" x14ac:dyDescent="0.35">
      <c r="A215" t="s">
        <v>68</v>
      </c>
      <c r="B215" t="s">
        <v>21</v>
      </c>
      <c r="C215">
        <v>12433378</v>
      </c>
      <c r="D215">
        <v>3398230</v>
      </c>
      <c r="E215">
        <v>9035148</v>
      </c>
      <c r="F215" t="s">
        <v>290</v>
      </c>
      <c r="G215" s="4">
        <v>2024</v>
      </c>
    </row>
    <row r="216" spans="1:7" x14ac:dyDescent="0.35">
      <c r="A216" t="s">
        <v>155</v>
      </c>
      <c r="B216" t="s">
        <v>21</v>
      </c>
      <c r="C216">
        <v>10422659</v>
      </c>
      <c r="D216">
        <v>8777125</v>
      </c>
      <c r="E216">
        <v>1645534</v>
      </c>
      <c r="F216" t="s">
        <v>291</v>
      </c>
      <c r="G216" s="4">
        <v>2025</v>
      </c>
    </row>
    <row r="217" spans="1:7" x14ac:dyDescent="0.35">
      <c r="A217" t="s">
        <v>55</v>
      </c>
      <c r="B217" t="s">
        <v>4</v>
      </c>
      <c r="C217">
        <v>7713630</v>
      </c>
      <c r="D217">
        <v>1832250</v>
      </c>
      <c r="E217">
        <v>5881380</v>
      </c>
      <c r="F217" t="s">
        <v>292</v>
      </c>
      <c r="G217" s="4">
        <v>2025</v>
      </c>
    </row>
    <row r="218" spans="1:7" x14ac:dyDescent="0.35">
      <c r="A218" t="s">
        <v>15</v>
      </c>
      <c r="B218" t="s">
        <v>21</v>
      </c>
      <c r="C218">
        <v>17872796</v>
      </c>
      <c r="D218">
        <v>4065021</v>
      </c>
      <c r="E218">
        <v>13807775</v>
      </c>
      <c r="F218" t="s">
        <v>293</v>
      </c>
      <c r="G218" s="4">
        <v>2025</v>
      </c>
    </row>
    <row r="219" spans="1:7" x14ac:dyDescent="0.35">
      <c r="A219" t="s">
        <v>48</v>
      </c>
      <c r="B219" t="s">
        <v>21</v>
      </c>
      <c r="C219">
        <v>9166769</v>
      </c>
      <c r="D219">
        <v>7049977</v>
      </c>
      <c r="E219">
        <v>2116792</v>
      </c>
      <c r="F219" t="s">
        <v>121</v>
      </c>
      <c r="G219" s="4">
        <v>2024</v>
      </c>
    </row>
    <row r="220" spans="1:7" x14ac:dyDescent="0.35">
      <c r="A220" t="s">
        <v>34</v>
      </c>
      <c r="B220" t="s">
        <v>21</v>
      </c>
      <c r="C220">
        <v>10422659</v>
      </c>
      <c r="D220">
        <v>8777125</v>
      </c>
      <c r="E220">
        <v>1645534</v>
      </c>
      <c r="F220" t="s">
        <v>294</v>
      </c>
      <c r="G220" s="4">
        <v>2024</v>
      </c>
    </row>
    <row r="221" spans="1:7" x14ac:dyDescent="0.35">
      <c r="A221" t="s">
        <v>64</v>
      </c>
      <c r="B221" t="s">
        <v>4</v>
      </c>
      <c r="C221">
        <v>6629660</v>
      </c>
      <c r="D221">
        <v>3523400</v>
      </c>
      <c r="E221">
        <v>3106260</v>
      </c>
      <c r="F221" t="s">
        <v>295</v>
      </c>
      <c r="G221" s="4">
        <v>2025</v>
      </c>
    </row>
    <row r="222" spans="1:7" x14ac:dyDescent="0.35">
      <c r="A222" t="s">
        <v>34</v>
      </c>
      <c r="B222" t="s">
        <v>4</v>
      </c>
      <c r="C222">
        <v>9869633</v>
      </c>
      <c r="D222" t="s">
        <v>258</v>
      </c>
      <c r="E222">
        <v>1160931</v>
      </c>
      <c r="F222" t="s">
        <v>296</v>
      </c>
      <c r="G222" s="4">
        <v>2024</v>
      </c>
    </row>
    <row r="223" spans="1:7" x14ac:dyDescent="0.35">
      <c r="A223" t="s">
        <v>34</v>
      </c>
      <c r="B223" t="s">
        <v>39</v>
      </c>
      <c r="C223">
        <v>10422659</v>
      </c>
      <c r="D223">
        <v>8777125</v>
      </c>
      <c r="E223">
        <v>1645534</v>
      </c>
      <c r="F223" t="s">
        <v>297</v>
      </c>
      <c r="G223" s="4">
        <v>2024</v>
      </c>
    </row>
    <row r="224" spans="1:7" x14ac:dyDescent="0.35">
      <c r="A224" t="s">
        <v>34</v>
      </c>
      <c r="B224" t="s">
        <v>109</v>
      </c>
      <c r="C224">
        <v>9869633</v>
      </c>
      <c r="D224">
        <v>8708702</v>
      </c>
      <c r="E224">
        <v>1160931</v>
      </c>
      <c r="F224" t="s">
        <v>298</v>
      </c>
      <c r="G224" s="4">
        <v>2024</v>
      </c>
    </row>
    <row r="225" spans="1:7" x14ac:dyDescent="0.35">
      <c r="A225" t="s">
        <v>106</v>
      </c>
      <c r="B225" t="s">
        <v>4</v>
      </c>
      <c r="C225" t="s">
        <v>283</v>
      </c>
      <c r="D225">
        <v>5074629</v>
      </c>
      <c r="E225">
        <v>4739863</v>
      </c>
      <c r="F225" t="s">
        <v>299</v>
      </c>
      <c r="G225" s="4">
        <v>2024</v>
      </c>
    </row>
    <row r="226" spans="1:7" x14ac:dyDescent="0.35">
      <c r="A226" t="s">
        <v>75</v>
      </c>
      <c r="B226" t="s">
        <v>4</v>
      </c>
      <c r="C226">
        <v>3115955</v>
      </c>
      <c r="D226">
        <v>2888010</v>
      </c>
      <c r="E226">
        <v>227945</v>
      </c>
      <c r="F226" t="s">
        <v>300</v>
      </c>
      <c r="G226" s="4">
        <v>2024</v>
      </c>
    </row>
    <row r="227" spans="1:7" x14ac:dyDescent="0.35">
      <c r="A227" t="s">
        <v>84</v>
      </c>
      <c r="B227" t="s">
        <v>21</v>
      </c>
      <c r="C227">
        <v>13243123</v>
      </c>
      <c r="D227">
        <v>5468428</v>
      </c>
      <c r="E227">
        <v>7774695</v>
      </c>
      <c r="F227" t="s">
        <v>301</v>
      </c>
      <c r="G227" s="4">
        <v>2024</v>
      </c>
    </row>
    <row r="228" spans="1:7" x14ac:dyDescent="0.35">
      <c r="A228" t="s">
        <v>75</v>
      </c>
      <c r="B228" t="s">
        <v>4</v>
      </c>
      <c r="C228">
        <v>3115955</v>
      </c>
      <c r="D228">
        <v>2888010</v>
      </c>
      <c r="E228">
        <v>227945</v>
      </c>
      <c r="F228" t="s">
        <v>302</v>
      </c>
      <c r="G228" s="4">
        <v>2024</v>
      </c>
    </row>
    <row r="229" spans="1:7" x14ac:dyDescent="0.35">
      <c r="A229" t="s">
        <v>26</v>
      </c>
      <c r="B229" t="s">
        <v>4</v>
      </c>
      <c r="C229">
        <v>7684666</v>
      </c>
      <c r="D229">
        <v>5053533</v>
      </c>
      <c r="E229">
        <v>2631133</v>
      </c>
      <c r="F229" t="s">
        <v>303</v>
      </c>
      <c r="G229" s="4">
        <v>2025</v>
      </c>
    </row>
    <row r="230" spans="1:7" x14ac:dyDescent="0.35">
      <c r="A230" t="s">
        <v>34</v>
      </c>
      <c r="B230" t="s">
        <v>4</v>
      </c>
      <c r="C230">
        <v>9869633</v>
      </c>
      <c r="D230">
        <v>8708702</v>
      </c>
      <c r="E230">
        <v>1160931</v>
      </c>
      <c r="F230" t="s">
        <v>304</v>
      </c>
      <c r="G230" s="4">
        <v>2025</v>
      </c>
    </row>
    <row r="231" spans="1:7" x14ac:dyDescent="0.35">
      <c r="A231" t="s">
        <v>55</v>
      </c>
      <c r="B231" t="s">
        <v>4</v>
      </c>
      <c r="C231">
        <v>7713630</v>
      </c>
      <c r="D231">
        <v>1832250</v>
      </c>
      <c r="E231">
        <v>5881380</v>
      </c>
      <c r="F231" t="s">
        <v>305</v>
      </c>
      <c r="G231" s="4">
        <v>2025</v>
      </c>
    </row>
    <row r="232" spans="1:7" x14ac:dyDescent="0.35">
      <c r="A232" t="s">
        <v>64</v>
      </c>
      <c r="B232" t="s">
        <v>21</v>
      </c>
      <c r="C232">
        <v>10655734</v>
      </c>
      <c r="D232" t="s">
        <v>219</v>
      </c>
      <c r="E232">
        <v>8247226</v>
      </c>
      <c r="F232" t="s">
        <v>306</v>
      </c>
      <c r="G232" s="4">
        <v>2024</v>
      </c>
    </row>
    <row r="233" spans="1:7" x14ac:dyDescent="0.35">
      <c r="A233" t="s">
        <v>307</v>
      </c>
      <c r="B233" t="s">
        <v>81</v>
      </c>
      <c r="C233">
        <v>7684666</v>
      </c>
      <c r="D233" t="s">
        <v>266</v>
      </c>
      <c r="E233">
        <v>2631133</v>
      </c>
      <c r="F233" t="s">
        <v>308</v>
      </c>
      <c r="G233" s="4">
        <v>2024</v>
      </c>
    </row>
    <row r="234" spans="1:7" x14ac:dyDescent="0.35">
      <c r="A234" t="s">
        <v>15</v>
      </c>
      <c r="B234" t="s">
        <v>4</v>
      </c>
      <c r="C234">
        <v>7409657</v>
      </c>
      <c r="D234">
        <v>6271336</v>
      </c>
      <c r="E234">
        <v>1138321</v>
      </c>
      <c r="F234" t="s">
        <v>16</v>
      </c>
      <c r="G234" s="4">
        <v>2024</v>
      </c>
    </row>
    <row r="235" spans="1:7" x14ac:dyDescent="0.35">
      <c r="A235" t="s">
        <v>15</v>
      </c>
      <c r="B235" t="s">
        <v>42</v>
      </c>
      <c r="C235">
        <v>17872796</v>
      </c>
      <c r="D235">
        <v>4065021</v>
      </c>
      <c r="E235">
        <v>13807775</v>
      </c>
      <c r="F235" t="s">
        <v>309</v>
      </c>
      <c r="G235" s="4">
        <v>2025</v>
      </c>
    </row>
    <row r="236" spans="1:7" x14ac:dyDescent="0.35">
      <c r="A236" t="s">
        <v>95</v>
      </c>
      <c r="B236" t="s">
        <v>4</v>
      </c>
      <c r="C236">
        <v>10932582</v>
      </c>
      <c r="D236">
        <v>9516586</v>
      </c>
      <c r="E236">
        <v>1415996</v>
      </c>
      <c r="F236" t="s">
        <v>310</v>
      </c>
      <c r="G236" s="4">
        <v>2025</v>
      </c>
    </row>
    <row r="237" spans="1:7" x14ac:dyDescent="0.35">
      <c r="A237" t="s">
        <v>55</v>
      </c>
      <c r="B237" t="s">
        <v>4</v>
      </c>
      <c r="C237">
        <v>7713630</v>
      </c>
      <c r="D237">
        <v>1832250</v>
      </c>
      <c r="E237">
        <v>5881380</v>
      </c>
      <c r="F237" t="s">
        <v>311</v>
      </c>
      <c r="G237" s="4">
        <v>2024</v>
      </c>
    </row>
    <row r="238" spans="1:7" x14ac:dyDescent="0.35">
      <c r="A238" t="s">
        <v>37</v>
      </c>
      <c r="B238" t="s">
        <v>81</v>
      </c>
      <c r="C238">
        <v>5297234</v>
      </c>
      <c r="D238">
        <v>3596622</v>
      </c>
      <c r="E238">
        <v>1700612</v>
      </c>
      <c r="F238" t="s">
        <v>312</v>
      </c>
      <c r="G238" s="4">
        <v>2025</v>
      </c>
    </row>
    <row r="239" spans="1:7" x14ac:dyDescent="0.35">
      <c r="A239" t="s">
        <v>73</v>
      </c>
      <c r="B239" t="s">
        <v>21</v>
      </c>
      <c r="C239" t="s">
        <v>69</v>
      </c>
      <c r="D239">
        <v>3398230</v>
      </c>
      <c r="E239">
        <v>9035148</v>
      </c>
      <c r="F239" t="s">
        <v>313</v>
      </c>
      <c r="G239" s="4">
        <v>2025</v>
      </c>
    </row>
    <row r="240" spans="1:7" x14ac:dyDescent="0.35">
      <c r="A240" t="s">
        <v>281</v>
      </c>
      <c r="B240" t="s">
        <v>21</v>
      </c>
      <c r="C240">
        <v>13243123</v>
      </c>
      <c r="D240">
        <v>5468428</v>
      </c>
      <c r="E240">
        <v>7774695</v>
      </c>
      <c r="F240" t="s">
        <v>314</v>
      </c>
      <c r="G240" s="4">
        <v>2025</v>
      </c>
    </row>
    <row r="241" spans="1:7" x14ac:dyDescent="0.35">
      <c r="A241" t="s">
        <v>19</v>
      </c>
      <c r="B241" t="s">
        <v>4</v>
      </c>
      <c r="C241">
        <v>9814492</v>
      </c>
      <c r="D241">
        <v>5074629</v>
      </c>
      <c r="E241">
        <v>4739863</v>
      </c>
      <c r="F241" t="s">
        <v>315</v>
      </c>
      <c r="G241" s="4">
        <v>2024</v>
      </c>
    </row>
    <row r="242" spans="1:7" x14ac:dyDescent="0.35">
      <c r="A242" t="s">
        <v>64</v>
      </c>
      <c r="B242" t="s">
        <v>4</v>
      </c>
      <c r="C242">
        <v>6629660</v>
      </c>
      <c r="D242">
        <v>3523400</v>
      </c>
      <c r="E242">
        <v>3106260</v>
      </c>
      <c r="F242" t="s">
        <v>316</v>
      </c>
      <c r="G242" s="4">
        <v>2024</v>
      </c>
    </row>
    <row r="243" spans="1:7" x14ac:dyDescent="0.35">
      <c r="B243" t="s">
        <v>21</v>
      </c>
      <c r="C243">
        <v>13395142</v>
      </c>
      <c r="D243">
        <v>3866714</v>
      </c>
      <c r="E243">
        <v>9528428</v>
      </c>
      <c r="F243" t="s">
        <v>317</v>
      </c>
      <c r="G243" s="4">
        <v>2025</v>
      </c>
    </row>
    <row r="244" spans="1:7" x14ac:dyDescent="0.35">
      <c r="A244" t="s">
        <v>95</v>
      </c>
      <c r="B244" t="s">
        <v>21</v>
      </c>
      <c r="C244">
        <v>17772619</v>
      </c>
      <c r="D244">
        <v>3751148</v>
      </c>
      <c r="E244">
        <v>14021471</v>
      </c>
      <c r="F244" t="s">
        <v>318</v>
      </c>
      <c r="G244" s="4">
        <v>2025</v>
      </c>
    </row>
    <row r="245" spans="1:7" x14ac:dyDescent="0.35">
      <c r="A245" t="s">
        <v>75</v>
      </c>
      <c r="B245" t="s">
        <v>21</v>
      </c>
      <c r="C245">
        <v>8925622</v>
      </c>
      <c r="D245">
        <v>7859625</v>
      </c>
      <c r="E245" t="s">
        <v>319</v>
      </c>
      <c r="F245" t="s">
        <v>320</v>
      </c>
      <c r="G245" s="4">
        <v>2025</v>
      </c>
    </row>
    <row r="246" spans="1:7" x14ac:dyDescent="0.35">
      <c r="A246" t="s">
        <v>55</v>
      </c>
      <c r="B246" t="s">
        <v>4</v>
      </c>
      <c r="C246">
        <v>7713630</v>
      </c>
      <c r="D246">
        <v>1832250</v>
      </c>
      <c r="E246">
        <v>5881380</v>
      </c>
      <c r="F246" t="s">
        <v>321</v>
      </c>
      <c r="G246" s="4">
        <v>2024</v>
      </c>
    </row>
    <row r="247" spans="1:7" x14ac:dyDescent="0.35">
      <c r="A247" t="s">
        <v>75</v>
      </c>
      <c r="B247" t="s">
        <v>4</v>
      </c>
      <c r="C247">
        <v>3115955</v>
      </c>
      <c r="D247">
        <v>2888010</v>
      </c>
      <c r="E247" t="s">
        <v>199</v>
      </c>
      <c r="F247" t="s">
        <v>200</v>
      </c>
      <c r="G247" s="4">
        <v>2024</v>
      </c>
    </row>
    <row r="248" spans="1:7" x14ac:dyDescent="0.35">
      <c r="A248" t="s">
        <v>68</v>
      </c>
      <c r="B248" t="s">
        <v>4</v>
      </c>
      <c r="C248">
        <v>6641746</v>
      </c>
      <c r="D248">
        <v>2466037</v>
      </c>
      <c r="E248">
        <v>4175709</v>
      </c>
      <c r="F248" t="s">
        <v>322</v>
      </c>
      <c r="G248" s="4">
        <v>2025</v>
      </c>
    </row>
    <row r="249" spans="1:7" x14ac:dyDescent="0.35">
      <c r="A249" t="s">
        <v>84</v>
      </c>
      <c r="B249" t="s">
        <v>21</v>
      </c>
      <c r="C249">
        <v>13243123</v>
      </c>
      <c r="D249">
        <v>5468428</v>
      </c>
      <c r="E249">
        <v>7774695</v>
      </c>
      <c r="F249" t="s">
        <v>202</v>
      </c>
      <c r="G249" s="4">
        <v>2024</v>
      </c>
    </row>
    <row r="250" spans="1:7" x14ac:dyDescent="0.35">
      <c r="A250" t="s">
        <v>26</v>
      </c>
      <c r="B250" t="s">
        <v>4</v>
      </c>
      <c r="C250">
        <v>7684666</v>
      </c>
      <c r="D250">
        <v>5053533</v>
      </c>
      <c r="E250">
        <v>2631133</v>
      </c>
      <c r="F250" t="s">
        <v>323</v>
      </c>
      <c r="G250" s="4">
        <v>2024</v>
      </c>
    </row>
    <row r="251" spans="1:7" x14ac:dyDescent="0.35">
      <c r="B251" t="s">
        <v>21</v>
      </c>
      <c r="C251">
        <v>9406634</v>
      </c>
      <c r="D251">
        <v>1310092</v>
      </c>
      <c r="E251">
        <v>8096542</v>
      </c>
      <c r="F251" t="s">
        <v>324</v>
      </c>
      <c r="G251" s="4">
        <v>2024</v>
      </c>
    </row>
    <row r="252" spans="1:7" x14ac:dyDescent="0.35">
      <c r="A252" t="s">
        <v>37</v>
      </c>
      <c r="B252" t="s">
        <v>21</v>
      </c>
      <c r="C252">
        <v>9406634</v>
      </c>
      <c r="D252">
        <v>1310092</v>
      </c>
      <c r="E252">
        <v>8096542</v>
      </c>
      <c r="F252" t="s">
        <v>20</v>
      </c>
      <c r="G252" s="4">
        <v>2025</v>
      </c>
    </row>
    <row r="253" spans="1:7" x14ac:dyDescent="0.35">
      <c r="A253" t="s">
        <v>34</v>
      </c>
      <c r="B253" t="s">
        <v>4</v>
      </c>
      <c r="C253">
        <v>9869633</v>
      </c>
      <c r="D253">
        <v>8708702</v>
      </c>
      <c r="E253">
        <v>1160931</v>
      </c>
      <c r="F253" t="s">
        <v>325</v>
      </c>
      <c r="G253" s="4">
        <v>2025</v>
      </c>
    </row>
    <row r="254" spans="1:7" x14ac:dyDescent="0.35">
      <c r="B254" t="s">
        <v>21</v>
      </c>
      <c r="C254">
        <v>10655734</v>
      </c>
      <c r="D254">
        <v>2408508</v>
      </c>
      <c r="E254">
        <v>8247226</v>
      </c>
      <c r="F254" t="s">
        <v>326</v>
      </c>
      <c r="G254" s="4">
        <v>2024</v>
      </c>
    </row>
    <row r="255" spans="1:7" x14ac:dyDescent="0.35">
      <c r="A255" t="s">
        <v>34</v>
      </c>
      <c r="B255" t="s">
        <v>4</v>
      </c>
      <c r="C255">
        <v>9869633</v>
      </c>
      <c r="D255">
        <v>8708702</v>
      </c>
      <c r="E255">
        <v>1160931</v>
      </c>
      <c r="F255" t="s">
        <v>327</v>
      </c>
      <c r="G255" s="4">
        <v>2024</v>
      </c>
    </row>
    <row r="256" spans="1:7" x14ac:dyDescent="0.35">
      <c r="A256" t="s">
        <v>26</v>
      </c>
      <c r="B256" t="s">
        <v>4</v>
      </c>
      <c r="C256">
        <v>7684666</v>
      </c>
      <c r="D256">
        <v>5053533</v>
      </c>
      <c r="E256">
        <v>2631133</v>
      </c>
      <c r="F256" t="s">
        <v>328</v>
      </c>
      <c r="G256" s="4">
        <v>2025</v>
      </c>
    </row>
    <row r="257" spans="1:7" x14ac:dyDescent="0.35">
      <c r="A257" t="s">
        <v>95</v>
      </c>
      <c r="B257" t="s">
        <v>21</v>
      </c>
      <c r="C257">
        <v>17772619</v>
      </c>
      <c r="D257">
        <v>3751148</v>
      </c>
      <c r="E257">
        <v>14021471</v>
      </c>
      <c r="F257" t="s">
        <v>329</v>
      </c>
      <c r="G257" s="4">
        <v>2025</v>
      </c>
    </row>
    <row r="258" spans="1:7" x14ac:dyDescent="0.35">
      <c r="A258" t="s">
        <v>34</v>
      </c>
      <c r="B258" t="s">
        <v>4</v>
      </c>
      <c r="C258">
        <v>9869633</v>
      </c>
      <c r="D258" t="s">
        <v>258</v>
      </c>
      <c r="E258">
        <v>1160931</v>
      </c>
      <c r="F258" t="s">
        <v>330</v>
      </c>
      <c r="G258" s="4">
        <v>2025</v>
      </c>
    </row>
    <row r="259" spans="1:7" x14ac:dyDescent="0.35">
      <c r="A259" t="s">
        <v>19</v>
      </c>
      <c r="B259" t="s">
        <v>4</v>
      </c>
      <c r="C259">
        <v>9814492</v>
      </c>
      <c r="D259">
        <v>5074629</v>
      </c>
      <c r="E259">
        <v>4739863</v>
      </c>
      <c r="F259" t="s">
        <v>331</v>
      </c>
      <c r="G259" s="4">
        <v>2025</v>
      </c>
    </row>
  </sheetData>
  <autoFilter ref="A1:G259"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Overall Performance</vt:lpstr>
      <vt:lpstr>Monthly Performance</vt:lpstr>
      <vt:lpstr>Product Performance</vt:lpstr>
      <vt:lpstr>2024 vs 2025 Performance</vt:lpstr>
      <vt:lpstr>MAIN DASHBOARD</vt:lpstr>
      <vt:lpstr>Clean data</vt:lpstr>
      <vt:lpstr>Messy Financial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Moyinoluwa Oso</cp:lastModifiedBy>
  <dcterms:created xsi:type="dcterms:W3CDTF">2026-08-16T22:15:19Z</dcterms:created>
  <dcterms:modified xsi:type="dcterms:W3CDTF">2026-08-21T13:26:25Z</dcterms:modified>
</cp:coreProperties>
</file>